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03" documentId="13_ncr:1_{944E15CA-EE2D-4CC1-A57D-761AC8D585F7}" xr6:coauthVersionLast="47" xr6:coauthVersionMax="47" xr10:uidLastSave="{99358F86-F846-4A08-ACB5-0C60FD85F3F6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" i="2" l="1"/>
  <c r="AL2" i="2"/>
  <c r="AQ38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2" i="2"/>
  <c r="AL37" i="2"/>
  <c r="AL38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2" i="2"/>
  <c r="AH3" i="2"/>
  <c r="AI3" i="2" s="1"/>
  <c r="AJ3" i="2" s="1"/>
  <c r="AH4" i="2"/>
  <c r="AI4" i="2" s="1"/>
  <c r="AJ4" i="2" s="1"/>
  <c r="AH5" i="2"/>
  <c r="AI5" i="2" s="1"/>
  <c r="AH6" i="2"/>
  <c r="AI6" i="2" s="1"/>
  <c r="AJ6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H13" i="2"/>
  <c r="AI13" i="2" s="1"/>
  <c r="AJ13" i="2" s="1"/>
  <c r="AH14" i="2"/>
  <c r="AI14" i="2" s="1"/>
  <c r="AJ14" i="2" s="1"/>
  <c r="AH15" i="2"/>
  <c r="AI15" i="2" s="1"/>
  <c r="AJ15" i="2" s="1"/>
  <c r="AH16" i="2"/>
  <c r="AI16" i="2" s="1"/>
  <c r="AJ16" i="2" s="1"/>
  <c r="AH17" i="2"/>
  <c r="AI17" i="2" s="1"/>
  <c r="AH18" i="2"/>
  <c r="AI18" i="2" s="1"/>
  <c r="AJ18" i="2" s="1"/>
  <c r="AH19" i="2"/>
  <c r="AI19" i="2" s="1"/>
  <c r="AH20" i="2"/>
  <c r="AI20" i="2" s="1"/>
  <c r="AJ20" i="2" s="1"/>
  <c r="AH21" i="2"/>
  <c r="AI21" i="2" s="1"/>
  <c r="AH22" i="2"/>
  <c r="AI22" i="2" s="1"/>
  <c r="AJ22" i="2" s="1"/>
  <c r="AH23" i="2"/>
  <c r="AI23" i="2" s="1"/>
  <c r="AJ23" i="2" s="1"/>
  <c r="AH24" i="2"/>
  <c r="AI24" i="2" s="1"/>
  <c r="AJ24" i="2" s="1"/>
  <c r="AH25" i="2"/>
  <c r="AI25" i="2" s="1"/>
  <c r="AJ25" i="2" s="1"/>
  <c r="AH26" i="2"/>
  <c r="AI26" i="2" s="1"/>
  <c r="AH27" i="2"/>
  <c r="AI27" i="2" s="1"/>
  <c r="AJ27" i="2" s="1"/>
  <c r="AH28" i="2"/>
  <c r="AI28" i="2" s="1"/>
  <c r="AJ28" i="2" s="1"/>
  <c r="AH29" i="2"/>
  <c r="AI29" i="2" s="1"/>
  <c r="AJ29" i="2" s="1"/>
  <c r="AH30" i="2"/>
  <c r="AI30" i="2" s="1"/>
  <c r="AJ30" i="2" s="1"/>
  <c r="AH31" i="2"/>
  <c r="AI31" i="2" s="1"/>
  <c r="AJ31" i="2" s="1"/>
  <c r="AH32" i="2"/>
  <c r="AI32" i="2" s="1"/>
  <c r="AH33" i="2"/>
  <c r="AI33" i="2" s="1"/>
  <c r="AJ33" i="2" s="1"/>
  <c r="AH34" i="2"/>
  <c r="AI34" i="2" s="1"/>
  <c r="AJ34" i="2" s="1"/>
  <c r="AH35" i="2"/>
  <c r="AI35" i="2" s="1"/>
  <c r="AH36" i="2"/>
  <c r="AI36" i="2" s="1"/>
  <c r="AJ36" i="2" s="1"/>
  <c r="AH37" i="2"/>
  <c r="AI37" i="2" s="1"/>
  <c r="AJ37" i="2" s="1"/>
  <c r="AH38" i="2"/>
  <c r="AI38" i="2" s="1"/>
  <c r="AJ38" i="2" s="1"/>
  <c r="AH2" i="2"/>
  <c r="AI2" i="2" s="1"/>
  <c r="AJ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2" i="2"/>
  <c r="AD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2" i="2"/>
  <c r="AB38" i="2"/>
  <c r="AB37" i="2"/>
  <c r="AB36" i="2"/>
  <c r="AB33" i="2"/>
  <c r="AB31" i="2"/>
  <c r="AB30" i="2"/>
  <c r="AB29" i="2"/>
  <c r="AB28" i="2"/>
  <c r="AB27" i="2"/>
  <c r="AB25" i="2"/>
  <c r="AB24" i="2"/>
  <c r="AB23" i="2"/>
  <c r="AB22" i="2"/>
  <c r="AB20" i="2"/>
  <c r="AB16" i="2"/>
  <c r="AB15" i="2"/>
  <c r="AB14" i="2"/>
  <c r="AB13" i="2"/>
  <c r="AB11" i="2"/>
  <c r="AB10" i="2"/>
  <c r="AB9" i="2"/>
  <c r="AB8" i="2"/>
  <c r="AB7" i="2"/>
  <c r="AB4" i="2"/>
  <c r="AB3" i="2"/>
  <c r="AB5" i="2"/>
  <c r="AB6" i="2"/>
  <c r="AB12" i="2"/>
  <c r="AB17" i="2"/>
  <c r="AB18" i="2"/>
  <c r="AB19" i="2"/>
  <c r="AB21" i="2"/>
  <c r="AB26" i="2"/>
  <c r="AB32" i="2"/>
  <c r="AB34" i="2"/>
  <c r="AB35" i="2"/>
  <c r="AB2" i="2"/>
  <c r="Z3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2" i="2"/>
  <c r="Z35" i="2"/>
  <c r="Z34" i="2"/>
  <c r="Z32" i="2"/>
  <c r="Z26" i="2"/>
  <c r="Z21" i="2"/>
  <c r="Z18" i="2"/>
  <c r="Z17" i="2"/>
  <c r="Z12" i="2"/>
  <c r="Z6" i="2"/>
  <c r="Z5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Ahmed Eldimasi</author>
  </authors>
  <commentList>
    <comment ref="A38" authorId="0" shapeId="0" xr:uid="{6C715B2E-2ECC-4A95-9B80-779762E0F30E}">
      <text>
        <r>
          <rPr>
            <b/>
            <sz val="9"/>
            <color indexed="81"/>
            <rFont val="Tahoma"/>
          </rPr>
          <t>Mohamed Ahmed Eldimasi:</t>
        </r>
        <r>
          <rPr>
            <sz val="9"/>
            <color indexed="81"/>
            <rFont val="Tahoma"/>
          </rPr>
          <t xml:space="preserve">
need to check the third ODU</t>
        </r>
      </text>
    </comment>
  </commentList>
</comments>
</file>

<file path=xl/sharedStrings.xml><?xml version="1.0" encoding="utf-8"?>
<sst xmlns="http://schemas.openxmlformats.org/spreadsheetml/2006/main" count="190" uniqueCount="85">
  <si>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</si>
  <si>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</si>
  <si>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</si>
  <si>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</si>
  <si>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</si>
  <si>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</si>
  <si>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</si>
  <si>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</si>
  <si>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</si>
  <si>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</si>
  <si>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</si>
  <si>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</si>
  <si>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</si>
  <si>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</si>
  <si>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</si>
  <si>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</si>
  <si>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</si>
  <si>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</si>
  <si>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</si>
  <si>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</si>
  <si>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</si>
  <si>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</si>
  <si>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</si>
  <si>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</si>
  <si>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</si>
  <si>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</si>
  <si>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</si>
  <si>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</si>
  <si>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</si>
  <si>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</si>
  <si>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</si>
  <si>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</si>
  <si>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</si>
  <si>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</si>
  <si>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</si>
  <si>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</si>
  <si>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</si>
  <si>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</si>
  <si>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</si>
  <si>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</si>
  <si>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</si>
  <si>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</si>
  <si>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</si>
  <si>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</si>
  <si>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CWN092</t>
  </si>
  <si>
    <t>CWN076</t>
  </si>
  <si>
    <t>CWN108</t>
  </si>
  <si>
    <t>CWN087</t>
  </si>
  <si>
    <t>CWN075</t>
  </si>
  <si>
    <t>CWN072</t>
  </si>
  <si>
    <t>CWN078</t>
  </si>
  <si>
    <t>CWN080</t>
  </si>
  <si>
    <t>CWN084</t>
  </si>
  <si>
    <t>CWN085</t>
  </si>
  <si>
    <t>CWN073</t>
  </si>
  <si>
    <t>CWN093</t>
  </si>
  <si>
    <t>CWN038</t>
  </si>
  <si>
    <t>CWN083</t>
  </si>
  <si>
    <t>CWN908</t>
  </si>
  <si>
    <t>CWN102</t>
  </si>
  <si>
    <t>CWN206</t>
  </si>
  <si>
    <t>CWN956</t>
  </si>
  <si>
    <t>CWN980</t>
  </si>
  <si>
    <t>CWN951</t>
  </si>
  <si>
    <t>CWN020</t>
  </si>
  <si>
    <t>CWN901</t>
  </si>
  <si>
    <t>CWN203</t>
  </si>
  <si>
    <t>CWN914</t>
  </si>
  <si>
    <t>CWN015</t>
  </si>
  <si>
    <t>CWN212</t>
  </si>
  <si>
    <t>CWN992</t>
  </si>
  <si>
    <t>CWN205</t>
  </si>
  <si>
    <t>CWN960</t>
  </si>
  <si>
    <t>CWN984</t>
  </si>
  <si>
    <t>CWN996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</si>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</sst>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7" formatCode="_-* #,##0_-;\-* #,##0_-;_-* &quot;-&quot;??_-;_-@_-"/>
    <numFmt numFmtId="180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</font>
    <font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wrapText="1"/>
    </xf>
    <xf numFmtId="2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wrapText="1"/>
    </xf>
    <xf numFmtId="43" fontId="0" fillId="0" borderId="0" xfId="1" applyFont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center" vertical="center" wrapText="1"/>
    </xf>
    <xf numFmtId="180" fontId="0" fillId="0" borderId="0" xfId="0" applyNumberFormat="1" applyBorder="1" applyAlignment="1">
      <alignment wrapText="1"/>
    </xf>
    <xf numFmtId="0" fontId="0" fillId="2" borderId="0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40"/>
  <sheetViews>
    <sheetView tabSelected="1" workbookViewId="0">
      <selection activeCell="D32" sqref="D32"/>
    </sheetView>
  </sheetViews>
  <sheetFormatPr defaultColWidth="12.33203125" defaultRowHeight="14.4" x14ac:dyDescent="0.3"/>
  <cols>
    <col min="1" max="6" width="12.33203125" style="1"/>
    <col min="7" max="7" width="11.21875" style="4" bestFit="1" customWidth="1"/>
    <col min="8" max="25" width="12.33203125" style="4"/>
    <col min="26" max="26" width="12.5546875" style="4" bestFit="1" customWidth="1"/>
    <col min="27" max="30" width="12.33203125" style="4"/>
    <col min="31" max="31" width="13.6640625" style="4" bestFit="1" customWidth="1"/>
    <col min="32" max="43" width="12.33203125" style="4"/>
    <col min="44" max="16384" width="12.33203125" style="1"/>
  </cols>
  <sheetData>
    <row r="1" spans="1:43" s="2" customFormat="1" ht="72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84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11" t="s">
        <v>24</v>
      </c>
      <c r="AG1" s="11" t="s">
        <v>25</v>
      </c>
      <c r="AH1" s="11" t="s">
        <v>26</v>
      </c>
      <c r="AI1" s="11" t="s">
        <v>27</v>
      </c>
      <c r="AJ1" s="11" t="s">
        <v>28</v>
      </c>
      <c r="AK1" s="11" t="s">
        <v>29</v>
      </c>
      <c r="AL1" s="11" t="s">
        <v>30</v>
      </c>
      <c r="AM1" s="11" t="s">
        <v>31</v>
      </c>
      <c r="AN1" s="11" t="s">
        <v>32</v>
      </c>
      <c r="AO1" s="11" t="s">
        <v>0</v>
      </c>
      <c r="AP1" s="11" t="s">
        <v>33</v>
      </c>
      <c r="AQ1" s="11" t="s">
        <v>34</v>
      </c>
    </row>
    <row r="2" spans="1:43" x14ac:dyDescent="0.3">
      <c r="A2" s="2" t="s">
        <v>41</v>
      </c>
      <c r="B2" s="2" t="s">
        <v>78</v>
      </c>
      <c r="C2" s="2" t="s">
        <v>80</v>
      </c>
      <c r="D2" s="2" t="s">
        <v>82</v>
      </c>
      <c r="E2" s="2">
        <v>21.35622</v>
      </c>
      <c r="F2" s="2">
        <v>39.984769999999997</v>
      </c>
      <c r="G2" s="3">
        <v>0</v>
      </c>
      <c r="H2" s="3">
        <v>0</v>
      </c>
      <c r="I2" s="3">
        <v>150</v>
      </c>
      <c r="J2" s="3">
        <v>30</v>
      </c>
      <c r="K2" s="3">
        <v>0</v>
      </c>
      <c r="L2" s="3">
        <v>18</v>
      </c>
      <c r="M2" s="3">
        <v>36000</v>
      </c>
      <c r="N2" s="3"/>
      <c r="O2" s="3">
        <v>36000</v>
      </c>
      <c r="P2" s="3">
        <v>0</v>
      </c>
      <c r="Q2" s="3">
        <v>200</v>
      </c>
      <c r="R2" s="3">
        <v>3</v>
      </c>
      <c r="S2" s="3"/>
      <c r="T2" s="3">
        <v>0.5</v>
      </c>
      <c r="U2" s="3">
        <v>0.8</v>
      </c>
      <c r="V2" s="3">
        <v>8.4</v>
      </c>
      <c r="W2" s="3">
        <v>3.5999999999999996</v>
      </c>
      <c r="X2" s="3">
        <f>V2+W2</f>
        <v>12</v>
      </c>
      <c r="Y2" s="8">
        <f>W2*3412</f>
        <v>12283.199999999999</v>
      </c>
      <c r="Z2" s="3">
        <v>0</v>
      </c>
      <c r="AA2" s="4">
        <f>I2*1.7*0.8*230/1000</f>
        <v>46.92</v>
      </c>
      <c r="AB2" s="7">
        <f>J2*0.8*0.87*(1-0.03*K2/8760)</f>
        <v>20.88</v>
      </c>
      <c r="AC2" s="4">
        <f>L2</f>
        <v>18</v>
      </c>
      <c r="AD2" s="9">
        <f>M2*0.83*(1-1.5%*N2)</f>
        <v>29880</v>
      </c>
      <c r="AE2" s="5">
        <f>(M2*0.83)/(3.5*3412)</f>
        <v>2.5020934516831352</v>
      </c>
      <c r="AF2" s="4">
        <f>O2*0.83*(1-1.5%*P2)</f>
        <v>29880</v>
      </c>
      <c r="AG2" s="5">
        <f>(O2*0.83)/(3.5*3412)</f>
        <v>2.5020934516831352</v>
      </c>
      <c r="AH2" s="4">
        <f>IF(P2&lt;6,Q2*R2*50%*(1-P2*20%),0)</f>
        <v>300</v>
      </c>
      <c r="AI2" s="4">
        <f>AH2*50/1000</f>
        <v>15</v>
      </c>
      <c r="AJ2" s="7">
        <f>AI2/X2</f>
        <v>1.25</v>
      </c>
      <c r="AK2" s="4">
        <f>L2/0.08</f>
        <v>225</v>
      </c>
      <c r="AL2" s="4">
        <f>L2*0.08</f>
        <v>1.44</v>
      </c>
      <c r="AM2" s="10">
        <f>AH2/AK2</f>
        <v>1.3333333333333333</v>
      </c>
      <c r="AN2" s="4">
        <f>Q2*R2*0.1</f>
        <v>60</v>
      </c>
      <c r="AO2" s="4">
        <f>AN2*50/1000</f>
        <v>3</v>
      </c>
      <c r="AP2" s="4">
        <f>AH2/AN2</f>
        <v>5</v>
      </c>
      <c r="AQ2" s="4">
        <f>X2*1000/50</f>
        <v>240</v>
      </c>
    </row>
    <row r="3" spans="1:43" x14ac:dyDescent="0.3">
      <c r="A3" s="2" t="s">
        <v>42</v>
      </c>
      <c r="B3" s="2" t="s">
        <v>79</v>
      </c>
      <c r="C3" s="2" t="s">
        <v>80</v>
      </c>
      <c r="D3" s="2" t="s">
        <v>82</v>
      </c>
      <c r="E3" s="2">
        <v>21.361256999999998</v>
      </c>
      <c r="F3" s="2">
        <v>39.973944000000003</v>
      </c>
      <c r="G3" s="3">
        <v>30</v>
      </c>
      <c r="H3" s="3">
        <v>3110</v>
      </c>
      <c r="I3" s="3">
        <v>0</v>
      </c>
      <c r="J3" s="3">
        <v>0</v>
      </c>
      <c r="K3" s="3">
        <v>0</v>
      </c>
      <c r="L3" s="3">
        <v>19.2</v>
      </c>
      <c r="M3" s="3">
        <v>36000</v>
      </c>
      <c r="N3" s="3"/>
      <c r="O3" s="3">
        <v>36000</v>
      </c>
      <c r="P3" s="3"/>
      <c r="Q3" s="3">
        <v>190</v>
      </c>
      <c r="R3" s="3">
        <v>5</v>
      </c>
      <c r="S3" s="3"/>
      <c r="T3" s="3">
        <v>0.5</v>
      </c>
      <c r="U3" s="3">
        <v>0.8</v>
      </c>
      <c r="V3" s="3">
        <v>10.5</v>
      </c>
      <c r="W3" s="3">
        <v>4.5</v>
      </c>
      <c r="X3" s="3">
        <f t="shared" ref="X3:X38" si="0">V3+W3</f>
        <v>15</v>
      </c>
      <c r="Y3" s="3">
        <f t="shared" ref="Y3:Y38" si="1">W3*3412</f>
        <v>15354</v>
      </c>
      <c r="Z3" s="6">
        <f>G3*0.8*0.87*(1-0.03*H3/8760)</f>
        <v>20.657613698630136</v>
      </c>
      <c r="AA3" s="4">
        <f t="shared" ref="AA3:AA38" si="2">I3*1.7*0.8*230/1000</f>
        <v>0</v>
      </c>
      <c r="AB3" s="7">
        <f t="shared" ref="AB3:AB38" si="3">J3*0.8*0.87*(1-0.03*K3/8760)</f>
        <v>0</v>
      </c>
      <c r="AC3" s="4">
        <f t="shared" ref="AC3:AC38" si="4">L3</f>
        <v>19.2</v>
      </c>
      <c r="AD3" s="9">
        <f t="shared" ref="AD3:AD38" si="5">M3*0.83*(1-1.5%*N3)</f>
        <v>29880</v>
      </c>
      <c r="AE3" s="5">
        <f t="shared" ref="AE3:AE38" si="6">(M3*0.83)/(3.5*3412)</f>
        <v>2.5020934516831352</v>
      </c>
      <c r="AF3" s="4">
        <f t="shared" ref="AF3:AF38" si="7">O3*0.83*(1-1.5%*P3)</f>
        <v>29880</v>
      </c>
      <c r="AG3" s="5">
        <f t="shared" ref="AG3:AG38" si="8">(O3*0.83)/(3.5*3412)</f>
        <v>2.5020934516831352</v>
      </c>
      <c r="AH3" s="4">
        <f t="shared" ref="AH3:AH38" si="9">IF(P3&lt;6,Q3*R3*50%*(1-P3*20%),0)</f>
        <v>475</v>
      </c>
      <c r="AI3" s="4">
        <f t="shared" ref="AI3:AI38" si="10">AH3*50/1000</f>
        <v>23.75</v>
      </c>
      <c r="AJ3" s="7">
        <f t="shared" ref="AJ3:AJ38" si="11">AI3/X3</f>
        <v>1.5833333333333333</v>
      </c>
      <c r="AK3" s="4">
        <f t="shared" ref="AK3:AK38" si="12">L3/0.08</f>
        <v>240</v>
      </c>
      <c r="AL3" s="4">
        <f t="shared" ref="AL3:AL38" si="13">L3*0.08</f>
        <v>1.536</v>
      </c>
      <c r="AM3" s="10">
        <f t="shared" ref="AM3:AM38" si="14">AH3/AK3</f>
        <v>1.9791666666666667</v>
      </c>
      <c r="AN3" s="4">
        <f t="shared" ref="AN3:AN38" si="15">Q3*R3*0.1</f>
        <v>95</v>
      </c>
      <c r="AO3" s="4">
        <f t="shared" ref="AO3:AO38" si="16">AN3*50/1000</f>
        <v>4.75</v>
      </c>
      <c r="AP3" s="4">
        <f t="shared" ref="AP3:AP38" si="17">AH3/AN3</f>
        <v>5</v>
      </c>
      <c r="AQ3" s="4">
        <f t="shared" ref="AQ3:AQ38" si="18">X3*1000/50</f>
        <v>300</v>
      </c>
    </row>
    <row r="4" spans="1:43" x14ac:dyDescent="0.3">
      <c r="A4" s="2" t="s">
        <v>43</v>
      </c>
      <c r="B4" s="2" t="s">
        <v>78</v>
      </c>
      <c r="C4" s="2" t="s">
        <v>80</v>
      </c>
      <c r="D4" s="2" t="s">
        <v>82</v>
      </c>
      <c r="E4" s="2">
        <v>21.372240000000001</v>
      </c>
      <c r="F4" s="2">
        <v>39.93826</v>
      </c>
      <c r="G4" s="3">
        <v>0</v>
      </c>
      <c r="H4" s="3">
        <v>0</v>
      </c>
      <c r="I4" s="3">
        <v>100</v>
      </c>
      <c r="J4" s="3">
        <v>30</v>
      </c>
      <c r="K4" s="3">
        <v>15578</v>
      </c>
      <c r="L4" s="3">
        <v>19.2</v>
      </c>
      <c r="M4" s="3">
        <v>48000</v>
      </c>
      <c r="N4" s="3"/>
      <c r="O4" s="3">
        <v>48000</v>
      </c>
      <c r="P4" s="3"/>
      <c r="Q4" s="3">
        <v>200</v>
      </c>
      <c r="R4" s="3">
        <v>4</v>
      </c>
      <c r="S4" s="3"/>
      <c r="T4" s="3">
        <v>0.5</v>
      </c>
      <c r="U4" s="3">
        <v>0.8</v>
      </c>
      <c r="V4" s="3">
        <v>8.4</v>
      </c>
      <c r="W4" s="3">
        <v>3.5999999999999996</v>
      </c>
      <c r="X4" s="3">
        <f t="shared" si="0"/>
        <v>12</v>
      </c>
      <c r="Y4" s="3">
        <f t="shared" si="1"/>
        <v>12283.199999999999</v>
      </c>
      <c r="Z4" s="3">
        <v>0</v>
      </c>
      <c r="AA4" s="4">
        <f t="shared" si="2"/>
        <v>31.28</v>
      </c>
      <c r="AB4" s="7">
        <f>J4*0.8*0.87*(1-0.03*K4/8760)</f>
        <v>19.766066301369861</v>
      </c>
      <c r="AC4" s="4">
        <f t="shared" si="4"/>
        <v>19.2</v>
      </c>
      <c r="AD4" s="9">
        <f t="shared" si="5"/>
        <v>39840</v>
      </c>
      <c r="AE4" s="5">
        <f t="shared" si="6"/>
        <v>3.3361246022441802</v>
      </c>
      <c r="AF4" s="4">
        <f t="shared" si="7"/>
        <v>39840</v>
      </c>
      <c r="AG4" s="5">
        <f t="shared" si="8"/>
        <v>3.3361246022441802</v>
      </c>
      <c r="AH4" s="4">
        <f t="shared" si="9"/>
        <v>400</v>
      </c>
      <c r="AI4" s="4">
        <f t="shared" si="10"/>
        <v>20</v>
      </c>
      <c r="AJ4" s="7">
        <f t="shared" si="11"/>
        <v>1.6666666666666667</v>
      </c>
      <c r="AK4" s="4">
        <f t="shared" si="12"/>
        <v>240</v>
      </c>
      <c r="AL4" s="4">
        <f t="shared" si="13"/>
        <v>1.536</v>
      </c>
      <c r="AM4" s="10">
        <f t="shared" si="14"/>
        <v>1.6666666666666667</v>
      </c>
      <c r="AN4" s="4">
        <f t="shared" si="15"/>
        <v>80</v>
      </c>
      <c r="AO4" s="4">
        <f t="shared" si="16"/>
        <v>4</v>
      </c>
      <c r="AP4" s="4">
        <f t="shared" si="17"/>
        <v>5</v>
      </c>
      <c r="AQ4" s="4">
        <f t="shared" si="18"/>
        <v>240</v>
      </c>
    </row>
    <row r="5" spans="1:43" x14ac:dyDescent="0.3">
      <c r="A5" s="2" t="s">
        <v>44</v>
      </c>
      <c r="B5" s="2" t="s">
        <v>79</v>
      </c>
      <c r="C5" s="2" t="s">
        <v>80</v>
      </c>
      <c r="D5" s="2" t="s">
        <v>82</v>
      </c>
      <c r="E5" s="2">
        <v>21.333244000000001</v>
      </c>
      <c r="F5" s="2">
        <v>39.971525999999997</v>
      </c>
      <c r="G5" s="3">
        <v>30</v>
      </c>
      <c r="H5" s="3">
        <v>25098</v>
      </c>
      <c r="I5" s="3">
        <v>0</v>
      </c>
      <c r="J5" s="3">
        <v>0</v>
      </c>
      <c r="K5" s="3">
        <v>0</v>
      </c>
      <c r="L5" s="3">
        <v>16</v>
      </c>
      <c r="M5" s="3">
        <v>36000</v>
      </c>
      <c r="N5" s="3"/>
      <c r="O5" s="3">
        <v>36000</v>
      </c>
      <c r="P5" s="3"/>
      <c r="Q5" s="3">
        <v>200</v>
      </c>
      <c r="R5" s="3">
        <v>2</v>
      </c>
      <c r="S5" s="3"/>
      <c r="T5" s="3">
        <v>0.5</v>
      </c>
      <c r="U5" s="3">
        <v>0.8</v>
      </c>
      <c r="V5" s="3">
        <v>0</v>
      </c>
      <c r="W5" s="3">
        <v>0</v>
      </c>
      <c r="X5" s="3">
        <f t="shared" si="0"/>
        <v>0</v>
      </c>
      <c r="Y5" s="3">
        <f t="shared" si="1"/>
        <v>0</v>
      </c>
      <c r="Z5" s="6">
        <f t="shared" ref="Z5:Z6" si="19">G5*0.8*0.87*(1-0.03*H5/8760)</f>
        <v>19.085321095890411</v>
      </c>
      <c r="AA5" s="4">
        <f t="shared" si="2"/>
        <v>0</v>
      </c>
      <c r="AB5" s="7">
        <f t="shared" si="3"/>
        <v>0</v>
      </c>
      <c r="AC5" s="4">
        <f t="shared" si="4"/>
        <v>16</v>
      </c>
      <c r="AD5" s="9">
        <f t="shared" si="5"/>
        <v>29880</v>
      </c>
      <c r="AE5" s="5">
        <f t="shared" si="6"/>
        <v>2.5020934516831352</v>
      </c>
      <c r="AF5" s="4">
        <f t="shared" si="7"/>
        <v>29880</v>
      </c>
      <c r="AG5" s="5">
        <f t="shared" si="8"/>
        <v>2.5020934516831352</v>
      </c>
      <c r="AH5" s="4">
        <f t="shared" si="9"/>
        <v>200</v>
      </c>
      <c r="AI5" s="4">
        <f t="shared" si="10"/>
        <v>10</v>
      </c>
      <c r="AJ5" s="7"/>
      <c r="AK5" s="4">
        <f t="shared" si="12"/>
        <v>200</v>
      </c>
      <c r="AL5" s="4">
        <f t="shared" si="13"/>
        <v>1.28</v>
      </c>
      <c r="AM5" s="10">
        <f t="shared" si="14"/>
        <v>1</v>
      </c>
      <c r="AN5" s="4">
        <f t="shared" si="15"/>
        <v>40</v>
      </c>
      <c r="AO5" s="4">
        <f t="shared" si="16"/>
        <v>2</v>
      </c>
      <c r="AP5" s="4">
        <f t="shared" si="17"/>
        <v>5</v>
      </c>
      <c r="AQ5" s="4">
        <f t="shared" si="18"/>
        <v>0</v>
      </c>
    </row>
    <row r="6" spans="1:43" x14ac:dyDescent="0.3">
      <c r="A6" s="2" t="s">
        <v>45</v>
      </c>
      <c r="B6" s="2" t="s">
        <v>79</v>
      </c>
      <c r="C6" s="2" t="s">
        <v>80</v>
      </c>
      <c r="D6" s="2" t="s">
        <v>82</v>
      </c>
      <c r="E6" s="2">
        <v>21.369199999999999</v>
      </c>
      <c r="F6" s="2">
        <v>39.977127000000003</v>
      </c>
      <c r="G6" s="3">
        <v>30</v>
      </c>
      <c r="H6" s="3">
        <v>18324</v>
      </c>
      <c r="I6" s="3">
        <v>0</v>
      </c>
      <c r="J6" s="3">
        <v>0</v>
      </c>
      <c r="K6" s="3">
        <v>0</v>
      </c>
      <c r="L6" s="3">
        <v>15</v>
      </c>
      <c r="M6" s="3">
        <v>36000</v>
      </c>
      <c r="N6" s="3"/>
      <c r="O6" s="3">
        <v>36000</v>
      </c>
      <c r="P6" s="3"/>
      <c r="Q6" s="3">
        <v>200</v>
      </c>
      <c r="R6" s="3">
        <v>7</v>
      </c>
      <c r="S6" s="3"/>
      <c r="T6" s="3">
        <v>0.5</v>
      </c>
      <c r="U6" s="3">
        <v>0.8</v>
      </c>
      <c r="V6" s="3">
        <v>8.4</v>
      </c>
      <c r="W6" s="3">
        <v>3.5999999999999996</v>
      </c>
      <c r="X6" s="3">
        <f t="shared" si="0"/>
        <v>12</v>
      </c>
      <c r="Y6" s="3">
        <f t="shared" si="1"/>
        <v>12283.199999999999</v>
      </c>
      <c r="Z6" s="6">
        <f t="shared" si="19"/>
        <v>19.569708493150682</v>
      </c>
      <c r="AA6" s="4">
        <f t="shared" si="2"/>
        <v>0</v>
      </c>
      <c r="AB6" s="7">
        <f t="shared" si="3"/>
        <v>0</v>
      </c>
      <c r="AC6" s="4">
        <f t="shared" si="4"/>
        <v>15</v>
      </c>
      <c r="AD6" s="9">
        <f t="shared" si="5"/>
        <v>29880</v>
      </c>
      <c r="AE6" s="5">
        <f t="shared" si="6"/>
        <v>2.5020934516831352</v>
      </c>
      <c r="AF6" s="4">
        <f t="shared" si="7"/>
        <v>29880</v>
      </c>
      <c r="AG6" s="5">
        <f t="shared" si="8"/>
        <v>2.5020934516831352</v>
      </c>
      <c r="AH6" s="4">
        <f t="shared" si="9"/>
        <v>700</v>
      </c>
      <c r="AI6" s="4">
        <f t="shared" si="10"/>
        <v>35</v>
      </c>
      <c r="AJ6" s="7">
        <f t="shared" si="11"/>
        <v>2.9166666666666665</v>
      </c>
      <c r="AK6" s="4">
        <f t="shared" si="12"/>
        <v>187.5</v>
      </c>
      <c r="AL6" s="4">
        <f t="shared" si="13"/>
        <v>1.2</v>
      </c>
      <c r="AM6" s="10">
        <f t="shared" si="14"/>
        <v>3.7333333333333334</v>
      </c>
      <c r="AN6" s="4">
        <f t="shared" si="15"/>
        <v>140</v>
      </c>
      <c r="AO6" s="4">
        <f t="shared" si="16"/>
        <v>7</v>
      </c>
      <c r="AP6" s="4">
        <f t="shared" si="17"/>
        <v>5</v>
      </c>
      <c r="AQ6" s="4">
        <f t="shared" si="18"/>
        <v>240</v>
      </c>
    </row>
    <row r="7" spans="1:43" x14ac:dyDescent="0.3">
      <c r="A7" s="2" t="s">
        <v>46</v>
      </c>
      <c r="B7" s="2" t="s">
        <v>78</v>
      </c>
      <c r="C7" s="2" t="s">
        <v>80</v>
      </c>
      <c r="D7" s="2" t="s">
        <v>82</v>
      </c>
      <c r="E7" s="2">
        <v>21.349160000000001</v>
      </c>
      <c r="F7" s="2">
        <v>39.983669999999996</v>
      </c>
      <c r="G7" s="3">
        <v>0</v>
      </c>
      <c r="H7" s="3">
        <v>0</v>
      </c>
      <c r="I7" s="3">
        <v>100</v>
      </c>
      <c r="J7" s="3">
        <v>30</v>
      </c>
      <c r="K7" s="3">
        <v>42885</v>
      </c>
      <c r="L7" s="3">
        <v>18</v>
      </c>
      <c r="M7" s="3">
        <v>36000</v>
      </c>
      <c r="N7" s="3"/>
      <c r="O7" s="3">
        <v>36000</v>
      </c>
      <c r="P7" s="3"/>
      <c r="Q7" s="3">
        <v>200</v>
      </c>
      <c r="R7" s="3">
        <v>3</v>
      </c>
      <c r="S7" s="3"/>
      <c r="T7" s="3">
        <v>0.5</v>
      </c>
      <c r="U7" s="3">
        <v>0.8</v>
      </c>
      <c r="V7" s="3">
        <v>8.4</v>
      </c>
      <c r="W7" s="3">
        <v>3.5999999999999996</v>
      </c>
      <c r="X7" s="3">
        <f t="shared" si="0"/>
        <v>12</v>
      </c>
      <c r="Y7" s="3">
        <f t="shared" si="1"/>
        <v>12283.199999999999</v>
      </c>
      <c r="Z7" s="3">
        <v>0</v>
      </c>
      <c r="AA7" s="4">
        <f t="shared" si="2"/>
        <v>31.28</v>
      </c>
      <c r="AB7" s="7">
        <f t="shared" si="3"/>
        <v>17.813428767123288</v>
      </c>
      <c r="AC7" s="4">
        <f t="shared" si="4"/>
        <v>18</v>
      </c>
      <c r="AD7" s="9">
        <f t="shared" si="5"/>
        <v>29880</v>
      </c>
      <c r="AE7" s="5">
        <f t="shared" si="6"/>
        <v>2.5020934516831352</v>
      </c>
      <c r="AF7" s="4">
        <f t="shared" si="7"/>
        <v>29880</v>
      </c>
      <c r="AG7" s="5">
        <f t="shared" si="8"/>
        <v>2.5020934516831352</v>
      </c>
      <c r="AH7" s="4">
        <f t="shared" si="9"/>
        <v>300</v>
      </c>
      <c r="AI7" s="4">
        <f t="shared" si="10"/>
        <v>15</v>
      </c>
      <c r="AJ7" s="7">
        <f t="shared" si="11"/>
        <v>1.25</v>
      </c>
      <c r="AK7" s="4">
        <f t="shared" si="12"/>
        <v>225</v>
      </c>
      <c r="AL7" s="4">
        <f t="shared" si="13"/>
        <v>1.44</v>
      </c>
      <c r="AM7" s="10">
        <f t="shared" si="14"/>
        <v>1.3333333333333333</v>
      </c>
      <c r="AN7" s="4">
        <f t="shared" si="15"/>
        <v>60</v>
      </c>
      <c r="AO7" s="4">
        <f t="shared" si="16"/>
        <v>3</v>
      </c>
      <c r="AP7" s="4">
        <f t="shared" si="17"/>
        <v>5</v>
      </c>
      <c r="AQ7" s="4">
        <f t="shared" si="18"/>
        <v>240</v>
      </c>
    </row>
    <row r="8" spans="1:43" x14ac:dyDescent="0.3">
      <c r="A8" s="2" t="s">
        <v>47</v>
      </c>
      <c r="B8" s="2" t="s">
        <v>78</v>
      </c>
      <c r="C8" s="2" t="s">
        <v>80</v>
      </c>
      <c r="D8" s="2" t="s">
        <v>82</v>
      </c>
      <c r="E8" s="2">
        <v>21.356940000000002</v>
      </c>
      <c r="F8" s="2">
        <v>39.977820000000001</v>
      </c>
      <c r="G8" s="3">
        <v>0</v>
      </c>
      <c r="H8" s="3">
        <v>0</v>
      </c>
      <c r="I8" s="3">
        <v>70</v>
      </c>
      <c r="J8" s="3">
        <v>35</v>
      </c>
      <c r="K8" s="3">
        <v>0</v>
      </c>
      <c r="L8" s="3">
        <v>21</v>
      </c>
      <c r="M8" s="3">
        <v>36000</v>
      </c>
      <c r="N8" s="3"/>
      <c r="O8" s="3">
        <v>36000</v>
      </c>
      <c r="P8" s="3"/>
      <c r="Q8" s="3">
        <v>190</v>
      </c>
      <c r="R8" s="3">
        <v>4</v>
      </c>
      <c r="S8" s="3"/>
      <c r="T8" s="3">
        <v>0.5</v>
      </c>
      <c r="U8" s="3">
        <v>0.8</v>
      </c>
      <c r="V8" s="3">
        <v>8.4</v>
      </c>
      <c r="W8" s="3">
        <v>3.5999999999999996</v>
      </c>
      <c r="X8" s="3">
        <f t="shared" si="0"/>
        <v>12</v>
      </c>
      <c r="Y8" s="3">
        <f t="shared" si="1"/>
        <v>12283.199999999999</v>
      </c>
      <c r="Z8" s="3">
        <v>0</v>
      </c>
      <c r="AA8" s="4">
        <f t="shared" si="2"/>
        <v>21.896000000000001</v>
      </c>
      <c r="AB8" s="7">
        <f t="shared" si="3"/>
        <v>24.36</v>
      </c>
      <c r="AC8" s="4">
        <f t="shared" si="4"/>
        <v>21</v>
      </c>
      <c r="AD8" s="9">
        <f t="shared" si="5"/>
        <v>29880</v>
      </c>
      <c r="AE8" s="5">
        <f t="shared" si="6"/>
        <v>2.5020934516831352</v>
      </c>
      <c r="AF8" s="4">
        <f t="shared" si="7"/>
        <v>29880</v>
      </c>
      <c r="AG8" s="5">
        <f t="shared" si="8"/>
        <v>2.5020934516831352</v>
      </c>
      <c r="AH8" s="4">
        <f t="shared" si="9"/>
        <v>380</v>
      </c>
      <c r="AI8" s="4">
        <f t="shared" si="10"/>
        <v>19</v>
      </c>
      <c r="AJ8" s="7">
        <f t="shared" si="11"/>
        <v>1.5833333333333333</v>
      </c>
      <c r="AK8" s="4">
        <f t="shared" si="12"/>
        <v>262.5</v>
      </c>
      <c r="AL8" s="4">
        <f t="shared" si="13"/>
        <v>1.68</v>
      </c>
      <c r="AM8" s="10">
        <f t="shared" si="14"/>
        <v>1.4476190476190476</v>
      </c>
      <c r="AN8" s="4">
        <f t="shared" si="15"/>
        <v>76</v>
      </c>
      <c r="AO8" s="4">
        <f t="shared" si="16"/>
        <v>3.8</v>
      </c>
      <c r="AP8" s="4">
        <f t="shared" si="17"/>
        <v>5</v>
      </c>
      <c r="AQ8" s="4">
        <f t="shared" si="18"/>
        <v>240</v>
      </c>
    </row>
    <row r="9" spans="1:43" x14ac:dyDescent="0.3">
      <c r="A9" s="2" t="s">
        <v>48</v>
      </c>
      <c r="B9" s="2" t="s">
        <v>78</v>
      </c>
      <c r="C9" s="2" t="s">
        <v>80</v>
      </c>
      <c r="D9" s="2" t="s">
        <v>82</v>
      </c>
      <c r="E9" s="2">
        <v>21.346996000000001</v>
      </c>
      <c r="F9" s="2">
        <v>39.957369</v>
      </c>
      <c r="G9" s="3">
        <v>0</v>
      </c>
      <c r="H9" s="3">
        <v>0</v>
      </c>
      <c r="I9" s="3">
        <v>100</v>
      </c>
      <c r="J9" s="3">
        <v>35</v>
      </c>
      <c r="K9" s="3">
        <v>1798</v>
      </c>
      <c r="L9" s="3">
        <v>21.6</v>
      </c>
      <c r="M9" s="3">
        <v>36000</v>
      </c>
      <c r="N9" s="3"/>
      <c r="O9" s="3">
        <v>36000</v>
      </c>
      <c r="P9" s="3"/>
      <c r="Q9" s="3">
        <v>200</v>
      </c>
      <c r="R9" s="3">
        <v>4</v>
      </c>
      <c r="S9" s="3"/>
      <c r="T9" s="3">
        <v>0.5</v>
      </c>
      <c r="U9" s="3">
        <v>0.8</v>
      </c>
      <c r="V9" s="3">
        <v>8.4</v>
      </c>
      <c r="W9" s="3">
        <v>3.5999999999999996</v>
      </c>
      <c r="X9" s="3">
        <f t="shared" si="0"/>
        <v>12</v>
      </c>
      <c r="Y9" s="3">
        <f t="shared" si="1"/>
        <v>12283.199999999999</v>
      </c>
      <c r="Z9" s="3">
        <v>0</v>
      </c>
      <c r="AA9" s="4">
        <f t="shared" si="2"/>
        <v>31.28</v>
      </c>
      <c r="AB9" s="7">
        <f t="shared" si="3"/>
        <v>24.210002465753423</v>
      </c>
      <c r="AC9" s="4">
        <f t="shared" si="4"/>
        <v>21.6</v>
      </c>
      <c r="AD9" s="9">
        <f t="shared" si="5"/>
        <v>29880</v>
      </c>
      <c r="AE9" s="5">
        <f t="shared" si="6"/>
        <v>2.5020934516831352</v>
      </c>
      <c r="AF9" s="4">
        <f t="shared" si="7"/>
        <v>29880</v>
      </c>
      <c r="AG9" s="5">
        <f t="shared" si="8"/>
        <v>2.5020934516831352</v>
      </c>
      <c r="AH9" s="4">
        <f t="shared" si="9"/>
        <v>400</v>
      </c>
      <c r="AI9" s="4">
        <f t="shared" si="10"/>
        <v>20</v>
      </c>
      <c r="AJ9" s="7">
        <f t="shared" si="11"/>
        <v>1.6666666666666667</v>
      </c>
      <c r="AK9" s="4">
        <f t="shared" si="12"/>
        <v>270</v>
      </c>
      <c r="AL9" s="4">
        <f t="shared" si="13"/>
        <v>1.7280000000000002</v>
      </c>
      <c r="AM9" s="10">
        <f t="shared" si="14"/>
        <v>1.4814814814814814</v>
      </c>
      <c r="AN9" s="4">
        <f t="shared" si="15"/>
        <v>80</v>
      </c>
      <c r="AO9" s="4">
        <f t="shared" si="16"/>
        <v>4</v>
      </c>
      <c r="AP9" s="4">
        <f t="shared" si="17"/>
        <v>5</v>
      </c>
      <c r="AQ9" s="4">
        <f t="shared" si="18"/>
        <v>240</v>
      </c>
    </row>
    <row r="10" spans="1:43" x14ac:dyDescent="0.3">
      <c r="A10" s="2" t="s">
        <v>49</v>
      </c>
      <c r="B10" s="2" t="s">
        <v>78</v>
      </c>
      <c r="C10" s="2" t="s">
        <v>80</v>
      </c>
      <c r="D10" s="2" t="s">
        <v>82</v>
      </c>
      <c r="E10" s="2">
        <v>21.34196</v>
      </c>
      <c r="F10" s="2">
        <v>39.976019999999998</v>
      </c>
      <c r="G10" s="3">
        <v>0</v>
      </c>
      <c r="H10" s="3">
        <v>0</v>
      </c>
      <c r="I10" s="3">
        <v>100</v>
      </c>
      <c r="J10" s="3">
        <v>25</v>
      </c>
      <c r="K10" s="3">
        <v>0</v>
      </c>
      <c r="L10" s="3">
        <v>21.6</v>
      </c>
      <c r="M10" s="3">
        <v>36000</v>
      </c>
      <c r="N10" s="3"/>
      <c r="O10" s="3">
        <v>36000</v>
      </c>
      <c r="P10" s="3"/>
      <c r="Q10" s="3">
        <v>295</v>
      </c>
      <c r="R10" s="3">
        <v>5</v>
      </c>
      <c r="S10" s="3"/>
      <c r="T10" s="3">
        <v>0.5</v>
      </c>
      <c r="U10" s="3">
        <v>0.8</v>
      </c>
      <c r="V10" s="3">
        <v>8.4</v>
      </c>
      <c r="W10" s="3">
        <v>3.5999999999999996</v>
      </c>
      <c r="X10" s="3">
        <f t="shared" si="0"/>
        <v>12</v>
      </c>
      <c r="Y10" s="3">
        <f t="shared" si="1"/>
        <v>12283.199999999999</v>
      </c>
      <c r="Z10" s="3">
        <v>0</v>
      </c>
      <c r="AA10" s="4">
        <f t="shared" si="2"/>
        <v>31.28</v>
      </c>
      <c r="AB10" s="7">
        <f t="shared" si="3"/>
        <v>17.399999999999999</v>
      </c>
      <c r="AC10" s="4">
        <f t="shared" si="4"/>
        <v>21.6</v>
      </c>
      <c r="AD10" s="9">
        <f t="shared" si="5"/>
        <v>29880</v>
      </c>
      <c r="AE10" s="5">
        <f t="shared" si="6"/>
        <v>2.5020934516831352</v>
      </c>
      <c r="AF10" s="4">
        <f t="shared" si="7"/>
        <v>29880</v>
      </c>
      <c r="AG10" s="5">
        <f t="shared" si="8"/>
        <v>2.5020934516831352</v>
      </c>
      <c r="AH10" s="4">
        <f t="shared" si="9"/>
        <v>737.5</v>
      </c>
      <c r="AI10" s="4">
        <f t="shared" si="10"/>
        <v>36.875</v>
      </c>
      <c r="AJ10" s="7">
        <f t="shared" si="11"/>
        <v>3.0729166666666665</v>
      </c>
      <c r="AK10" s="4">
        <f t="shared" si="12"/>
        <v>270</v>
      </c>
      <c r="AL10" s="4">
        <f t="shared" si="13"/>
        <v>1.7280000000000002</v>
      </c>
      <c r="AM10" s="10">
        <f t="shared" si="14"/>
        <v>2.7314814814814814</v>
      </c>
      <c r="AN10" s="4">
        <f t="shared" si="15"/>
        <v>147.5</v>
      </c>
      <c r="AO10" s="4">
        <f t="shared" si="16"/>
        <v>7.375</v>
      </c>
      <c r="AP10" s="4">
        <f t="shared" si="17"/>
        <v>5</v>
      </c>
      <c r="AQ10" s="4">
        <f t="shared" si="18"/>
        <v>240</v>
      </c>
    </row>
    <row r="11" spans="1:43" x14ac:dyDescent="0.3">
      <c r="A11" s="2" t="s">
        <v>50</v>
      </c>
      <c r="B11" s="2" t="s">
        <v>78</v>
      </c>
      <c r="C11" s="2" t="s">
        <v>80</v>
      </c>
      <c r="D11" s="2" t="s">
        <v>82</v>
      </c>
      <c r="E11" s="2">
        <v>21.340509999999998</v>
      </c>
      <c r="F11" s="2">
        <v>39.995480000000001</v>
      </c>
      <c r="G11" s="3">
        <v>0</v>
      </c>
      <c r="H11" s="3">
        <v>0</v>
      </c>
      <c r="I11" s="3">
        <v>100</v>
      </c>
      <c r="J11" s="3">
        <v>35</v>
      </c>
      <c r="K11" s="3">
        <v>0</v>
      </c>
      <c r="L11" s="3">
        <v>16.2</v>
      </c>
      <c r="M11" s="3">
        <v>36000</v>
      </c>
      <c r="N11" s="3"/>
      <c r="O11" s="3">
        <v>36000</v>
      </c>
      <c r="P11" s="3"/>
      <c r="Q11" s="3">
        <v>200</v>
      </c>
      <c r="R11" s="3">
        <v>4</v>
      </c>
      <c r="S11" s="3"/>
      <c r="T11" s="3">
        <v>0.5</v>
      </c>
      <c r="U11" s="3">
        <v>0.8</v>
      </c>
      <c r="V11" s="3">
        <v>8.4</v>
      </c>
      <c r="W11" s="3">
        <v>3.5999999999999996</v>
      </c>
      <c r="X11" s="3">
        <f t="shared" si="0"/>
        <v>12</v>
      </c>
      <c r="Y11" s="3">
        <f t="shared" si="1"/>
        <v>12283.199999999999</v>
      </c>
      <c r="Z11" s="3">
        <v>0</v>
      </c>
      <c r="AA11" s="4">
        <f t="shared" si="2"/>
        <v>31.28</v>
      </c>
      <c r="AB11" s="7">
        <f t="shared" si="3"/>
        <v>24.36</v>
      </c>
      <c r="AC11" s="4">
        <f t="shared" si="4"/>
        <v>16.2</v>
      </c>
      <c r="AD11" s="9">
        <f t="shared" si="5"/>
        <v>29880</v>
      </c>
      <c r="AE11" s="5">
        <f t="shared" si="6"/>
        <v>2.5020934516831352</v>
      </c>
      <c r="AF11" s="4">
        <f t="shared" si="7"/>
        <v>29880</v>
      </c>
      <c r="AG11" s="5">
        <f t="shared" si="8"/>
        <v>2.5020934516831352</v>
      </c>
      <c r="AH11" s="4">
        <f t="shared" si="9"/>
        <v>400</v>
      </c>
      <c r="AI11" s="4">
        <f t="shared" si="10"/>
        <v>20</v>
      </c>
      <c r="AJ11" s="7">
        <f t="shared" si="11"/>
        <v>1.6666666666666667</v>
      </c>
      <c r="AK11" s="4">
        <f t="shared" si="12"/>
        <v>202.5</v>
      </c>
      <c r="AL11" s="4">
        <f t="shared" si="13"/>
        <v>1.296</v>
      </c>
      <c r="AM11" s="10">
        <f t="shared" si="14"/>
        <v>1.9753086419753085</v>
      </c>
      <c r="AN11" s="4">
        <f t="shared" si="15"/>
        <v>80</v>
      </c>
      <c r="AO11" s="4">
        <f t="shared" si="16"/>
        <v>4</v>
      </c>
      <c r="AP11" s="4">
        <f t="shared" si="17"/>
        <v>5</v>
      </c>
      <c r="AQ11" s="4">
        <f t="shared" si="18"/>
        <v>240</v>
      </c>
    </row>
    <row r="12" spans="1:43" x14ac:dyDescent="0.3">
      <c r="A12" s="2" t="s">
        <v>51</v>
      </c>
      <c r="B12" s="2" t="s">
        <v>79</v>
      </c>
      <c r="C12" s="2" t="s">
        <v>80</v>
      </c>
      <c r="D12" s="2" t="s">
        <v>82</v>
      </c>
      <c r="E12" s="2">
        <v>21.378152</v>
      </c>
      <c r="F12" s="2">
        <v>39.990098000000003</v>
      </c>
      <c r="G12" s="3">
        <v>35</v>
      </c>
      <c r="H12" s="3">
        <v>22058</v>
      </c>
      <c r="I12" s="3">
        <v>0</v>
      </c>
      <c r="J12" s="3">
        <v>0</v>
      </c>
      <c r="K12" s="3">
        <v>0</v>
      </c>
      <c r="L12" s="3">
        <v>21.6</v>
      </c>
      <c r="M12" s="3">
        <v>36000</v>
      </c>
      <c r="N12" s="3"/>
      <c r="O12" s="3">
        <v>36000</v>
      </c>
      <c r="P12" s="3"/>
      <c r="Q12" s="3">
        <v>190</v>
      </c>
      <c r="R12" s="3">
        <v>4</v>
      </c>
      <c r="S12" s="3"/>
      <c r="T12" s="3">
        <v>0.5</v>
      </c>
      <c r="U12" s="3">
        <v>0.8</v>
      </c>
      <c r="V12" s="3">
        <v>0</v>
      </c>
      <c r="W12" s="3">
        <v>0</v>
      </c>
      <c r="X12" s="3">
        <f t="shared" si="0"/>
        <v>0</v>
      </c>
      <c r="Y12" s="3">
        <f t="shared" si="1"/>
        <v>0</v>
      </c>
      <c r="Z12" s="6">
        <f>G12*0.8*0.87*(1-0.03*H12/8760)</f>
        <v>22.519818904109588</v>
      </c>
      <c r="AA12" s="4">
        <f t="shared" si="2"/>
        <v>0</v>
      </c>
      <c r="AB12" s="7">
        <f t="shared" si="3"/>
        <v>0</v>
      </c>
      <c r="AC12" s="4">
        <f t="shared" si="4"/>
        <v>21.6</v>
      </c>
      <c r="AD12" s="9">
        <f t="shared" si="5"/>
        <v>29880</v>
      </c>
      <c r="AE12" s="5">
        <f t="shared" si="6"/>
        <v>2.5020934516831352</v>
      </c>
      <c r="AF12" s="4">
        <f t="shared" si="7"/>
        <v>29880</v>
      </c>
      <c r="AG12" s="5">
        <f t="shared" si="8"/>
        <v>2.5020934516831352</v>
      </c>
      <c r="AH12" s="4">
        <f t="shared" si="9"/>
        <v>380</v>
      </c>
      <c r="AI12" s="4">
        <f t="shared" si="10"/>
        <v>19</v>
      </c>
      <c r="AJ12" s="7"/>
      <c r="AK12" s="4">
        <f t="shared" si="12"/>
        <v>270</v>
      </c>
      <c r="AL12" s="4">
        <f t="shared" si="13"/>
        <v>1.7280000000000002</v>
      </c>
      <c r="AM12" s="10">
        <f t="shared" si="14"/>
        <v>1.4074074074074074</v>
      </c>
      <c r="AN12" s="4">
        <f t="shared" si="15"/>
        <v>76</v>
      </c>
      <c r="AO12" s="4">
        <f t="shared" si="16"/>
        <v>3.8</v>
      </c>
      <c r="AP12" s="4">
        <f t="shared" si="17"/>
        <v>5</v>
      </c>
      <c r="AQ12" s="4">
        <f t="shared" si="18"/>
        <v>0</v>
      </c>
    </row>
    <row r="13" spans="1:43" x14ac:dyDescent="0.3">
      <c r="A13" s="2" t="s">
        <v>52</v>
      </c>
      <c r="B13" s="2" t="s">
        <v>78</v>
      </c>
      <c r="C13" s="2" t="s">
        <v>80</v>
      </c>
      <c r="D13" s="2" t="s">
        <v>82</v>
      </c>
      <c r="E13" s="2">
        <v>21.342528000000001</v>
      </c>
      <c r="F13" s="2">
        <v>39.962167000000001</v>
      </c>
      <c r="G13" s="3">
        <v>0</v>
      </c>
      <c r="H13" s="3">
        <v>0</v>
      </c>
      <c r="I13" s="3">
        <v>100</v>
      </c>
      <c r="J13" s="3">
        <v>35</v>
      </c>
      <c r="K13" s="3">
        <v>0</v>
      </c>
      <c r="L13" s="3">
        <v>18.899999999999999</v>
      </c>
      <c r="M13" s="3">
        <v>36000</v>
      </c>
      <c r="N13" s="3"/>
      <c r="O13" s="3">
        <v>36000</v>
      </c>
      <c r="P13" s="3"/>
      <c r="Q13" s="3">
        <v>200</v>
      </c>
      <c r="R13" s="3">
        <v>4</v>
      </c>
      <c r="S13" s="3"/>
      <c r="T13" s="3">
        <v>0.5</v>
      </c>
      <c r="U13" s="3">
        <v>0.8</v>
      </c>
      <c r="V13" s="3">
        <v>10.5</v>
      </c>
      <c r="W13" s="3">
        <v>4.5</v>
      </c>
      <c r="X13" s="3">
        <f t="shared" si="0"/>
        <v>15</v>
      </c>
      <c r="Y13" s="3">
        <f t="shared" si="1"/>
        <v>15354</v>
      </c>
      <c r="Z13" s="3">
        <v>0</v>
      </c>
      <c r="AA13" s="4">
        <f t="shared" si="2"/>
        <v>31.28</v>
      </c>
      <c r="AB13" s="7">
        <f t="shared" si="3"/>
        <v>24.36</v>
      </c>
      <c r="AC13" s="4">
        <f t="shared" si="4"/>
        <v>18.899999999999999</v>
      </c>
      <c r="AD13" s="9">
        <f t="shared" si="5"/>
        <v>29880</v>
      </c>
      <c r="AE13" s="5">
        <f t="shared" si="6"/>
        <v>2.5020934516831352</v>
      </c>
      <c r="AF13" s="4">
        <f t="shared" si="7"/>
        <v>29880</v>
      </c>
      <c r="AG13" s="5">
        <f t="shared" si="8"/>
        <v>2.5020934516831352</v>
      </c>
      <c r="AH13" s="4">
        <f t="shared" si="9"/>
        <v>400</v>
      </c>
      <c r="AI13" s="4">
        <f t="shared" si="10"/>
        <v>20</v>
      </c>
      <c r="AJ13" s="7">
        <f t="shared" si="11"/>
        <v>1.3333333333333333</v>
      </c>
      <c r="AK13" s="4">
        <f t="shared" si="12"/>
        <v>236.24999999999997</v>
      </c>
      <c r="AL13" s="4">
        <f t="shared" si="13"/>
        <v>1.512</v>
      </c>
      <c r="AM13" s="10">
        <f t="shared" si="14"/>
        <v>1.6931216931216932</v>
      </c>
      <c r="AN13" s="4">
        <f t="shared" si="15"/>
        <v>80</v>
      </c>
      <c r="AO13" s="4">
        <f t="shared" si="16"/>
        <v>4</v>
      </c>
      <c r="AP13" s="4">
        <f t="shared" si="17"/>
        <v>5</v>
      </c>
      <c r="AQ13" s="4">
        <f t="shared" si="18"/>
        <v>300</v>
      </c>
    </row>
    <row r="14" spans="1:43" x14ac:dyDescent="0.3">
      <c r="A14" s="2" t="s">
        <v>53</v>
      </c>
      <c r="B14" s="2" t="s">
        <v>78</v>
      </c>
      <c r="C14" s="2" t="s">
        <v>80</v>
      </c>
      <c r="D14" s="2" t="s">
        <v>82</v>
      </c>
      <c r="E14" s="2">
        <v>21.366810000000001</v>
      </c>
      <c r="F14" s="2">
        <v>39.964390000000002</v>
      </c>
      <c r="G14" s="3">
        <v>0</v>
      </c>
      <c r="H14" s="3">
        <v>0</v>
      </c>
      <c r="I14" s="3">
        <v>100</v>
      </c>
      <c r="J14" s="3">
        <v>35</v>
      </c>
      <c r="K14" s="3">
        <v>0</v>
      </c>
      <c r="L14" s="3">
        <v>18</v>
      </c>
      <c r="M14" s="3">
        <v>36000</v>
      </c>
      <c r="N14" s="3"/>
      <c r="O14" s="3">
        <v>36000</v>
      </c>
      <c r="P14" s="3"/>
      <c r="Q14" s="3">
        <v>190</v>
      </c>
      <c r="R14" s="3">
        <v>4</v>
      </c>
      <c r="S14" s="3"/>
      <c r="T14" s="3">
        <v>0.5</v>
      </c>
      <c r="U14" s="3">
        <v>0.8</v>
      </c>
      <c r="V14" s="3">
        <v>8.4</v>
      </c>
      <c r="W14" s="3">
        <v>3.5999999999999996</v>
      </c>
      <c r="X14" s="3">
        <f t="shared" si="0"/>
        <v>12</v>
      </c>
      <c r="Y14" s="3">
        <f t="shared" si="1"/>
        <v>12283.199999999999</v>
      </c>
      <c r="Z14" s="3">
        <v>0</v>
      </c>
      <c r="AA14" s="4">
        <f t="shared" si="2"/>
        <v>31.28</v>
      </c>
      <c r="AB14" s="7">
        <f t="shared" si="3"/>
        <v>24.36</v>
      </c>
      <c r="AC14" s="4">
        <f t="shared" si="4"/>
        <v>18</v>
      </c>
      <c r="AD14" s="9">
        <f t="shared" si="5"/>
        <v>29880</v>
      </c>
      <c r="AE14" s="5">
        <f t="shared" si="6"/>
        <v>2.5020934516831352</v>
      </c>
      <c r="AF14" s="4">
        <f t="shared" si="7"/>
        <v>29880</v>
      </c>
      <c r="AG14" s="5">
        <f t="shared" si="8"/>
        <v>2.5020934516831352</v>
      </c>
      <c r="AH14" s="4">
        <f t="shared" si="9"/>
        <v>380</v>
      </c>
      <c r="AI14" s="4">
        <f t="shared" si="10"/>
        <v>19</v>
      </c>
      <c r="AJ14" s="7">
        <f t="shared" si="11"/>
        <v>1.5833333333333333</v>
      </c>
      <c r="AK14" s="4">
        <f t="shared" si="12"/>
        <v>225</v>
      </c>
      <c r="AL14" s="4">
        <f t="shared" si="13"/>
        <v>1.44</v>
      </c>
      <c r="AM14" s="10">
        <f t="shared" si="14"/>
        <v>1.6888888888888889</v>
      </c>
      <c r="AN14" s="4">
        <f t="shared" si="15"/>
        <v>76</v>
      </c>
      <c r="AO14" s="4">
        <f t="shared" si="16"/>
        <v>3.8</v>
      </c>
      <c r="AP14" s="4">
        <f t="shared" si="17"/>
        <v>5</v>
      </c>
      <c r="AQ14" s="4">
        <f t="shared" si="18"/>
        <v>240</v>
      </c>
    </row>
    <row r="15" spans="1:43" x14ac:dyDescent="0.3">
      <c r="A15" s="2" t="s">
        <v>54</v>
      </c>
      <c r="B15" s="2" t="s">
        <v>78</v>
      </c>
      <c r="C15" s="2" t="s">
        <v>80</v>
      </c>
      <c r="D15" s="2" t="s">
        <v>82</v>
      </c>
      <c r="E15" s="2">
        <v>21.373843300000001</v>
      </c>
      <c r="F15" s="2">
        <v>39.986548300000003</v>
      </c>
      <c r="G15" s="3">
        <v>0</v>
      </c>
      <c r="H15" s="3">
        <v>0</v>
      </c>
      <c r="I15" s="3">
        <v>100</v>
      </c>
      <c r="J15" s="3">
        <v>45</v>
      </c>
      <c r="K15" s="3">
        <v>0</v>
      </c>
      <c r="L15" s="3">
        <v>21.6</v>
      </c>
      <c r="M15" s="3">
        <v>36000</v>
      </c>
      <c r="N15" s="3"/>
      <c r="O15" s="3">
        <v>36000</v>
      </c>
      <c r="P15" s="3"/>
      <c r="Q15" s="3">
        <v>200</v>
      </c>
      <c r="R15" s="3">
        <v>4</v>
      </c>
      <c r="S15" s="3"/>
      <c r="T15" s="3">
        <v>0.5</v>
      </c>
      <c r="U15" s="3">
        <v>0.8</v>
      </c>
      <c r="V15" s="3">
        <v>11.9</v>
      </c>
      <c r="W15" s="3">
        <v>5.0999999999999996</v>
      </c>
      <c r="X15" s="3">
        <f t="shared" si="0"/>
        <v>17</v>
      </c>
      <c r="Y15" s="3">
        <f t="shared" si="1"/>
        <v>17401.199999999997</v>
      </c>
      <c r="Z15" s="3">
        <v>0</v>
      </c>
      <c r="AA15" s="4">
        <f t="shared" si="2"/>
        <v>31.28</v>
      </c>
      <c r="AB15" s="7">
        <f t="shared" si="3"/>
        <v>31.32</v>
      </c>
      <c r="AC15" s="4">
        <f t="shared" si="4"/>
        <v>21.6</v>
      </c>
      <c r="AD15" s="9">
        <f t="shared" si="5"/>
        <v>29880</v>
      </c>
      <c r="AE15" s="5">
        <f t="shared" si="6"/>
        <v>2.5020934516831352</v>
      </c>
      <c r="AF15" s="4">
        <f t="shared" si="7"/>
        <v>29880</v>
      </c>
      <c r="AG15" s="5">
        <f t="shared" si="8"/>
        <v>2.5020934516831352</v>
      </c>
      <c r="AH15" s="4">
        <f t="shared" si="9"/>
        <v>400</v>
      </c>
      <c r="AI15" s="4">
        <f t="shared" si="10"/>
        <v>20</v>
      </c>
      <c r="AJ15" s="7">
        <f t="shared" si="11"/>
        <v>1.1764705882352942</v>
      </c>
      <c r="AK15" s="4">
        <f t="shared" si="12"/>
        <v>270</v>
      </c>
      <c r="AL15" s="4">
        <f t="shared" si="13"/>
        <v>1.7280000000000002</v>
      </c>
      <c r="AM15" s="10">
        <f t="shared" si="14"/>
        <v>1.4814814814814814</v>
      </c>
      <c r="AN15" s="4">
        <f t="shared" si="15"/>
        <v>80</v>
      </c>
      <c r="AO15" s="4">
        <f t="shared" si="16"/>
        <v>4</v>
      </c>
      <c r="AP15" s="4">
        <f t="shared" si="17"/>
        <v>5</v>
      </c>
      <c r="AQ15" s="4">
        <f t="shared" si="18"/>
        <v>340</v>
      </c>
    </row>
    <row r="16" spans="1:43" x14ac:dyDescent="0.3">
      <c r="A16" s="2" t="s">
        <v>55</v>
      </c>
      <c r="B16" s="2" t="s">
        <v>78</v>
      </c>
      <c r="C16" s="2" t="s">
        <v>80</v>
      </c>
      <c r="D16" s="2" t="s">
        <v>82</v>
      </c>
      <c r="E16" s="2">
        <v>21.3568</v>
      </c>
      <c r="F16" s="2">
        <v>39.93535</v>
      </c>
      <c r="G16" s="3">
        <v>0</v>
      </c>
      <c r="H16" s="3">
        <v>0</v>
      </c>
      <c r="I16" s="3">
        <v>200</v>
      </c>
      <c r="J16" s="3">
        <v>45</v>
      </c>
      <c r="K16" s="3">
        <v>31766</v>
      </c>
      <c r="L16" s="3">
        <v>21</v>
      </c>
      <c r="M16" s="3">
        <v>36000</v>
      </c>
      <c r="N16" s="3"/>
      <c r="O16" s="3">
        <v>36000</v>
      </c>
      <c r="P16" s="3"/>
      <c r="Q16" s="3">
        <v>200</v>
      </c>
      <c r="R16" s="3">
        <v>8</v>
      </c>
      <c r="S16" s="3"/>
      <c r="T16" s="3">
        <v>0.5</v>
      </c>
      <c r="U16" s="3">
        <v>0.8</v>
      </c>
      <c r="V16" s="3">
        <v>10.5</v>
      </c>
      <c r="W16" s="3">
        <v>4.5</v>
      </c>
      <c r="X16" s="3">
        <f t="shared" si="0"/>
        <v>15</v>
      </c>
      <c r="Y16" s="3">
        <f t="shared" si="1"/>
        <v>15354</v>
      </c>
      <c r="Z16" s="3">
        <v>0</v>
      </c>
      <c r="AA16" s="4">
        <f t="shared" si="2"/>
        <v>62.56</v>
      </c>
      <c r="AB16" s="7">
        <f t="shared" si="3"/>
        <v>27.912770136986303</v>
      </c>
      <c r="AC16" s="4">
        <f t="shared" si="4"/>
        <v>21</v>
      </c>
      <c r="AD16" s="9">
        <f t="shared" si="5"/>
        <v>29880</v>
      </c>
      <c r="AE16" s="5">
        <f t="shared" si="6"/>
        <v>2.5020934516831352</v>
      </c>
      <c r="AF16" s="4">
        <f t="shared" si="7"/>
        <v>29880</v>
      </c>
      <c r="AG16" s="5">
        <f t="shared" si="8"/>
        <v>2.5020934516831352</v>
      </c>
      <c r="AH16" s="4">
        <f t="shared" si="9"/>
        <v>800</v>
      </c>
      <c r="AI16" s="4">
        <f t="shared" si="10"/>
        <v>40</v>
      </c>
      <c r="AJ16" s="7">
        <f t="shared" si="11"/>
        <v>2.6666666666666665</v>
      </c>
      <c r="AK16" s="4">
        <f t="shared" si="12"/>
        <v>262.5</v>
      </c>
      <c r="AL16" s="4">
        <f t="shared" si="13"/>
        <v>1.68</v>
      </c>
      <c r="AM16" s="10">
        <f t="shared" si="14"/>
        <v>3.0476190476190474</v>
      </c>
      <c r="AN16" s="4">
        <f t="shared" si="15"/>
        <v>160</v>
      </c>
      <c r="AO16" s="4">
        <f t="shared" si="16"/>
        <v>8</v>
      </c>
      <c r="AP16" s="4">
        <f t="shared" si="17"/>
        <v>5</v>
      </c>
      <c r="AQ16" s="4">
        <f t="shared" si="18"/>
        <v>300</v>
      </c>
    </row>
    <row r="17" spans="1:43" x14ac:dyDescent="0.3">
      <c r="A17" s="2" t="s">
        <v>56</v>
      </c>
      <c r="B17" s="2" t="s">
        <v>79</v>
      </c>
      <c r="C17" s="2" t="s">
        <v>80</v>
      </c>
      <c r="D17" s="2" t="s">
        <v>82</v>
      </c>
      <c r="E17" s="2">
        <v>21.328513999999998</v>
      </c>
      <c r="F17" s="2">
        <v>39.961342999999999</v>
      </c>
      <c r="G17" s="3">
        <v>30</v>
      </c>
      <c r="H17" s="3">
        <v>1525</v>
      </c>
      <c r="I17" s="3">
        <v>0</v>
      </c>
      <c r="J17" s="3">
        <v>0</v>
      </c>
      <c r="K17" s="3">
        <v>0</v>
      </c>
      <c r="L17" s="3">
        <v>12.8</v>
      </c>
      <c r="M17" s="3">
        <v>48000</v>
      </c>
      <c r="N17" s="3"/>
      <c r="O17" s="3">
        <v>48000</v>
      </c>
      <c r="P17" s="3"/>
      <c r="Q17" s="3">
        <v>200</v>
      </c>
      <c r="R17" s="3">
        <v>7</v>
      </c>
      <c r="S17" s="3"/>
      <c r="T17" s="3">
        <v>0.5</v>
      </c>
      <c r="U17" s="3">
        <v>0.8</v>
      </c>
      <c r="V17" s="3">
        <v>0</v>
      </c>
      <c r="W17" s="3">
        <v>0</v>
      </c>
      <c r="X17" s="3">
        <f t="shared" si="0"/>
        <v>0</v>
      </c>
      <c r="Y17" s="3">
        <f t="shared" si="1"/>
        <v>0</v>
      </c>
      <c r="Z17" s="6">
        <f t="shared" ref="Z17:Z18" si="20">G17*0.8*0.87*(1-0.03*H17/8760)</f>
        <v>20.770952054794517</v>
      </c>
      <c r="AA17" s="4">
        <f t="shared" si="2"/>
        <v>0</v>
      </c>
      <c r="AB17" s="7">
        <f t="shared" si="3"/>
        <v>0</v>
      </c>
      <c r="AC17" s="4">
        <f t="shared" si="4"/>
        <v>12.8</v>
      </c>
      <c r="AD17" s="9">
        <f t="shared" si="5"/>
        <v>39840</v>
      </c>
      <c r="AE17" s="5">
        <f t="shared" si="6"/>
        <v>3.3361246022441802</v>
      </c>
      <c r="AF17" s="4">
        <f t="shared" si="7"/>
        <v>39840</v>
      </c>
      <c r="AG17" s="5">
        <f t="shared" si="8"/>
        <v>3.3361246022441802</v>
      </c>
      <c r="AH17" s="4">
        <f t="shared" si="9"/>
        <v>700</v>
      </c>
      <c r="AI17" s="4">
        <f t="shared" si="10"/>
        <v>35</v>
      </c>
      <c r="AJ17" s="7"/>
      <c r="AK17" s="4">
        <f t="shared" si="12"/>
        <v>160</v>
      </c>
      <c r="AL17" s="4">
        <f t="shared" si="13"/>
        <v>1.024</v>
      </c>
      <c r="AM17" s="10">
        <f t="shared" si="14"/>
        <v>4.375</v>
      </c>
      <c r="AN17" s="4">
        <f t="shared" si="15"/>
        <v>140</v>
      </c>
      <c r="AO17" s="4">
        <f t="shared" si="16"/>
        <v>7</v>
      </c>
      <c r="AP17" s="4">
        <f t="shared" si="17"/>
        <v>5</v>
      </c>
      <c r="AQ17" s="4">
        <f t="shared" si="18"/>
        <v>0</v>
      </c>
    </row>
    <row r="18" spans="1:43" x14ac:dyDescent="0.3">
      <c r="A18" s="2" t="s">
        <v>57</v>
      </c>
      <c r="B18" s="2" t="s">
        <v>79</v>
      </c>
      <c r="C18" s="2" t="s">
        <v>80</v>
      </c>
      <c r="D18" s="2" t="s">
        <v>82</v>
      </c>
      <c r="E18" s="2">
        <v>21.331372000000002</v>
      </c>
      <c r="F18" s="2">
        <v>39.965547000000001</v>
      </c>
      <c r="G18" s="3">
        <v>35</v>
      </c>
      <c r="H18" s="3">
        <v>6125</v>
      </c>
      <c r="I18" s="3">
        <v>0</v>
      </c>
      <c r="J18" s="3">
        <v>0</v>
      </c>
      <c r="K18" s="3">
        <v>0</v>
      </c>
      <c r="L18" s="3">
        <v>18</v>
      </c>
      <c r="M18" s="3">
        <v>36000</v>
      </c>
      <c r="N18" s="3"/>
      <c r="O18" s="3">
        <v>36000</v>
      </c>
      <c r="P18" s="3"/>
      <c r="Q18" s="3">
        <v>200</v>
      </c>
      <c r="R18" s="3">
        <v>3</v>
      </c>
      <c r="S18" s="3"/>
      <c r="T18" s="3">
        <v>0.5</v>
      </c>
      <c r="U18" s="3">
        <v>0.8</v>
      </c>
      <c r="V18" s="3">
        <v>8.4</v>
      </c>
      <c r="W18" s="3">
        <v>3.5999999999999996</v>
      </c>
      <c r="X18" s="3">
        <f t="shared" si="0"/>
        <v>12</v>
      </c>
      <c r="Y18" s="3">
        <f t="shared" si="1"/>
        <v>12283.199999999999</v>
      </c>
      <c r="Z18" s="6">
        <f t="shared" si="20"/>
        <v>23.84902397260274</v>
      </c>
      <c r="AA18" s="4">
        <f t="shared" si="2"/>
        <v>0</v>
      </c>
      <c r="AB18" s="7">
        <f t="shared" si="3"/>
        <v>0</v>
      </c>
      <c r="AC18" s="4">
        <f t="shared" si="4"/>
        <v>18</v>
      </c>
      <c r="AD18" s="9">
        <f t="shared" si="5"/>
        <v>29880</v>
      </c>
      <c r="AE18" s="5">
        <f t="shared" si="6"/>
        <v>2.5020934516831352</v>
      </c>
      <c r="AF18" s="4">
        <f t="shared" si="7"/>
        <v>29880</v>
      </c>
      <c r="AG18" s="5">
        <f t="shared" si="8"/>
        <v>2.5020934516831352</v>
      </c>
      <c r="AH18" s="4">
        <f t="shared" si="9"/>
        <v>300</v>
      </c>
      <c r="AI18" s="4">
        <f t="shared" si="10"/>
        <v>15</v>
      </c>
      <c r="AJ18" s="7">
        <f t="shared" si="11"/>
        <v>1.25</v>
      </c>
      <c r="AK18" s="4">
        <f t="shared" si="12"/>
        <v>225</v>
      </c>
      <c r="AL18" s="4">
        <f t="shared" si="13"/>
        <v>1.44</v>
      </c>
      <c r="AM18" s="10">
        <f t="shared" si="14"/>
        <v>1.3333333333333333</v>
      </c>
      <c r="AN18" s="4">
        <f t="shared" si="15"/>
        <v>60</v>
      </c>
      <c r="AO18" s="4">
        <f t="shared" si="16"/>
        <v>3</v>
      </c>
      <c r="AP18" s="4">
        <f t="shared" si="17"/>
        <v>5</v>
      </c>
      <c r="AQ18" s="4">
        <f t="shared" si="18"/>
        <v>240</v>
      </c>
    </row>
    <row r="19" spans="1:43" x14ac:dyDescent="0.3">
      <c r="A19" s="2" t="s">
        <v>58</v>
      </c>
      <c r="B19" s="2">
        <v>0</v>
      </c>
      <c r="C19" s="2" t="s">
        <v>80</v>
      </c>
      <c r="D19" s="2" t="s">
        <v>82</v>
      </c>
      <c r="E19" s="2">
        <v>21.365285</v>
      </c>
      <c r="F19" s="2">
        <v>39.950510000000001</v>
      </c>
      <c r="G19" s="3"/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>
        <v>0</v>
      </c>
      <c r="P19" s="3"/>
      <c r="Q19" s="3">
        <v>0</v>
      </c>
      <c r="R19" s="3">
        <v>0</v>
      </c>
      <c r="S19" s="3"/>
      <c r="T19" s="3">
        <v>0.5</v>
      </c>
      <c r="U19" s="3">
        <v>0.8</v>
      </c>
      <c r="V19" s="3">
        <v>0</v>
      </c>
      <c r="W19" s="3">
        <v>0</v>
      </c>
      <c r="X19" s="3">
        <f t="shared" si="0"/>
        <v>0</v>
      </c>
      <c r="Y19" s="3">
        <f t="shared" si="1"/>
        <v>0</v>
      </c>
      <c r="Z19" s="3">
        <v>0</v>
      </c>
      <c r="AA19" s="4">
        <f t="shared" si="2"/>
        <v>0</v>
      </c>
      <c r="AB19" s="7">
        <f t="shared" si="3"/>
        <v>0</v>
      </c>
      <c r="AC19" s="4">
        <f t="shared" si="4"/>
        <v>0</v>
      </c>
      <c r="AD19" s="9">
        <f t="shared" si="5"/>
        <v>0</v>
      </c>
      <c r="AE19" s="5">
        <f t="shared" si="6"/>
        <v>0</v>
      </c>
      <c r="AF19" s="4">
        <f t="shared" si="7"/>
        <v>0</v>
      </c>
      <c r="AG19" s="5">
        <f t="shared" si="8"/>
        <v>0</v>
      </c>
      <c r="AH19" s="4">
        <f t="shared" si="9"/>
        <v>0</v>
      </c>
      <c r="AI19" s="4">
        <f t="shared" si="10"/>
        <v>0</v>
      </c>
      <c r="AJ19" s="7"/>
      <c r="AK19" s="4">
        <f t="shared" si="12"/>
        <v>0</v>
      </c>
      <c r="AL19" s="4">
        <f t="shared" si="13"/>
        <v>0</v>
      </c>
      <c r="AM19" s="10"/>
      <c r="AN19" s="4">
        <f t="shared" si="15"/>
        <v>0</v>
      </c>
      <c r="AO19" s="4">
        <f t="shared" si="16"/>
        <v>0</v>
      </c>
      <c r="AQ19" s="4">
        <f t="shared" si="18"/>
        <v>0</v>
      </c>
    </row>
    <row r="20" spans="1:43" x14ac:dyDescent="0.3">
      <c r="A20" s="2" t="s">
        <v>59</v>
      </c>
      <c r="B20" s="2" t="s">
        <v>78</v>
      </c>
      <c r="C20" s="2" t="s">
        <v>80</v>
      </c>
      <c r="D20" s="2" t="s">
        <v>82</v>
      </c>
      <c r="E20" s="2">
        <v>21.359010000000001</v>
      </c>
      <c r="F20" s="2">
        <v>39.956890000000001</v>
      </c>
      <c r="G20" s="3">
        <v>0</v>
      </c>
      <c r="H20" s="3">
        <v>0</v>
      </c>
      <c r="I20" s="3">
        <v>100</v>
      </c>
      <c r="J20" s="3">
        <v>45</v>
      </c>
      <c r="K20" s="3">
        <v>11794</v>
      </c>
      <c r="L20" s="3">
        <v>19.2</v>
      </c>
      <c r="M20" s="3">
        <v>36000</v>
      </c>
      <c r="N20" s="3"/>
      <c r="O20" s="3">
        <v>36000</v>
      </c>
      <c r="P20" s="3"/>
      <c r="Q20" s="3">
        <v>200</v>
      </c>
      <c r="R20" s="3">
        <v>8</v>
      </c>
      <c r="S20" s="3"/>
      <c r="T20" s="3">
        <v>0.5</v>
      </c>
      <c r="U20" s="3">
        <v>0.8</v>
      </c>
      <c r="V20" s="3">
        <v>10.5</v>
      </c>
      <c r="W20" s="3">
        <v>4.5</v>
      </c>
      <c r="X20" s="3">
        <f t="shared" si="0"/>
        <v>15</v>
      </c>
      <c r="Y20" s="3">
        <f t="shared" si="1"/>
        <v>15354</v>
      </c>
      <c r="Z20" s="3">
        <v>0</v>
      </c>
      <c r="AA20" s="4">
        <f t="shared" si="2"/>
        <v>31.28</v>
      </c>
      <c r="AB20" s="7">
        <f>J20*0.8*0.87*(1-0.03*K20/8760)</f>
        <v>30.054972328767121</v>
      </c>
      <c r="AC20" s="4">
        <f t="shared" si="4"/>
        <v>19.2</v>
      </c>
      <c r="AD20" s="9">
        <f t="shared" si="5"/>
        <v>29880</v>
      </c>
      <c r="AE20" s="5">
        <f t="shared" si="6"/>
        <v>2.5020934516831352</v>
      </c>
      <c r="AF20" s="4">
        <f t="shared" si="7"/>
        <v>29880</v>
      </c>
      <c r="AG20" s="5">
        <f t="shared" si="8"/>
        <v>2.5020934516831352</v>
      </c>
      <c r="AH20" s="4">
        <f t="shared" si="9"/>
        <v>800</v>
      </c>
      <c r="AI20" s="4">
        <f t="shared" si="10"/>
        <v>40</v>
      </c>
      <c r="AJ20" s="7">
        <f t="shared" si="11"/>
        <v>2.6666666666666665</v>
      </c>
      <c r="AK20" s="4">
        <f t="shared" si="12"/>
        <v>240</v>
      </c>
      <c r="AL20" s="4">
        <f t="shared" si="13"/>
        <v>1.536</v>
      </c>
      <c r="AM20" s="10">
        <f t="shared" si="14"/>
        <v>3.3333333333333335</v>
      </c>
      <c r="AN20" s="4">
        <f t="shared" si="15"/>
        <v>160</v>
      </c>
      <c r="AO20" s="4">
        <f t="shared" si="16"/>
        <v>8</v>
      </c>
      <c r="AP20" s="4">
        <f t="shared" si="17"/>
        <v>5</v>
      </c>
      <c r="AQ20" s="4">
        <f t="shared" si="18"/>
        <v>300</v>
      </c>
    </row>
    <row r="21" spans="1:43" x14ac:dyDescent="0.3">
      <c r="A21" s="2" t="s">
        <v>60</v>
      </c>
      <c r="B21" s="2" t="s">
        <v>79</v>
      </c>
      <c r="C21" s="2" t="s">
        <v>81</v>
      </c>
      <c r="D21" s="2" t="s">
        <v>83</v>
      </c>
      <c r="E21" s="2">
        <v>21.390274000000002</v>
      </c>
      <c r="F21" s="2">
        <v>39.928265000000003</v>
      </c>
      <c r="G21" s="3">
        <v>30</v>
      </c>
      <c r="H21" s="3">
        <v>32553</v>
      </c>
      <c r="I21" s="3">
        <v>0</v>
      </c>
      <c r="J21" s="3">
        <v>0</v>
      </c>
      <c r="K21" s="3">
        <v>0</v>
      </c>
      <c r="L21" s="3">
        <v>24</v>
      </c>
      <c r="M21" s="3">
        <v>10200</v>
      </c>
      <c r="N21" s="3"/>
      <c r="O21" s="3">
        <v>0</v>
      </c>
      <c r="P21" s="3"/>
      <c r="Q21" s="3">
        <v>200</v>
      </c>
      <c r="R21" s="3">
        <v>4</v>
      </c>
      <c r="S21" s="3"/>
      <c r="T21" s="3">
        <v>0.5</v>
      </c>
      <c r="U21" s="3">
        <v>0.8</v>
      </c>
      <c r="V21" s="3">
        <v>0</v>
      </c>
      <c r="W21" s="3">
        <v>0</v>
      </c>
      <c r="X21" s="3">
        <f t="shared" si="0"/>
        <v>0</v>
      </c>
      <c r="Y21" s="3">
        <f t="shared" si="1"/>
        <v>0</v>
      </c>
      <c r="Z21" s="6">
        <f>G21*0.8*0.87*(1-0.03*H21/8760)</f>
        <v>18.552237534246572</v>
      </c>
      <c r="AA21" s="4">
        <f t="shared" si="2"/>
        <v>0</v>
      </c>
      <c r="AB21" s="7">
        <f t="shared" si="3"/>
        <v>0</v>
      </c>
      <c r="AC21" s="4">
        <f t="shared" si="4"/>
        <v>24</v>
      </c>
      <c r="AD21" s="9">
        <f t="shared" si="5"/>
        <v>8466</v>
      </c>
      <c r="AE21" s="5">
        <f t="shared" si="6"/>
        <v>0.70892647797688835</v>
      </c>
      <c r="AF21" s="4">
        <f t="shared" si="7"/>
        <v>0</v>
      </c>
      <c r="AG21" s="5">
        <f t="shared" si="8"/>
        <v>0</v>
      </c>
      <c r="AH21" s="4">
        <f t="shared" si="9"/>
        <v>400</v>
      </c>
      <c r="AI21" s="4">
        <f t="shared" si="10"/>
        <v>20</v>
      </c>
      <c r="AJ21" s="7"/>
      <c r="AK21" s="4">
        <f t="shared" si="12"/>
        <v>300</v>
      </c>
      <c r="AL21" s="4">
        <f t="shared" si="13"/>
        <v>1.92</v>
      </c>
      <c r="AM21" s="10">
        <f t="shared" si="14"/>
        <v>1.3333333333333333</v>
      </c>
      <c r="AN21" s="4">
        <f t="shared" si="15"/>
        <v>80</v>
      </c>
      <c r="AO21" s="4">
        <f t="shared" si="16"/>
        <v>4</v>
      </c>
      <c r="AP21" s="4">
        <f t="shared" si="17"/>
        <v>5</v>
      </c>
      <c r="AQ21" s="4">
        <f t="shared" si="18"/>
        <v>0</v>
      </c>
    </row>
    <row r="22" spans="1:43" x14ac:dyDescent="0.3">
      <c r="A22" s="2" t="s">
        <v>61</v>
      </c>
      <c r="B22" s="2" t="s">
        <v>78</v>
      </c>
      <c r="C22" s="2" t="s">
        <v>81</v>
      </c>
      <c r="D22" s="2" t="s">
        <v>82</v>
      </c>
      <c r="E22" s="2">
        <v>21.370410700000001</v>
      </c>
      <c r="F22" s="2">
        <v>39.985422200000002</v>
      </c>
      <c r="G22" s="3">
        <v>0</v>
      </c>
      <c r="H22" s="3">
        <v>0</v>
      </c>
      <c r="I22" s="3">
        <v>100</v>
      </c>
      <c r="J22" s="3">
        <v>30</v>
      </c>
      <c r="K22" s="3">
        <v>0</v>
      </c>
      <c r="L22" s="3">
        <v>15</v>
      </c>
      <c r="M22" s="3">
        <v>10200</v>
      </c>
      <c r="N22" s="3"/>
      <c r="O22" s="3">
        <v>0</v>
      </c>
      <c r="P22" s="3"/>
      <c r="Q22" s="3">
        <v>200</v>
      </c>
      <c r="R22" s="3">
        <v>4</v>
      </c>
      <c r="S22" s="3"/>
      <c r="T22" s="3">
        <v>0.5</v>
      </c>
      <c r="U22" s="3">
        <v>0.8</v>
      </c>
      <c r="V22" s="3">
        <v>10.56</v>
      </c>
      <c r="W22" s="3">
        <v>1.44</v>
      </c>
      <c r="X22" s="3">
        <f t="shared" si="0"/>
        <v>12</v>
      </c>
      <c r="Y22" s="3">
        <f t="shared" si="1"/>
        <v>4913.28</v>
      </c>
      <c r="Z22" s="3">
        <v>0</v>
      </c>
      <c r="AA22" s="4">
        <f t="shared" si="2"/>
        <v>31.28</v>
      </c>
      <c r="AB22" s="7">
        <f t="shared" si="3"/>
        <v>20.88</v>
      </c>
      <c r="AC22" s="4">
        <f t="shared" si="4"/>
        <v>15</v>
      </c>
      <c r="AD22" s="9">
        <f t="shared" si="5"/>
        <v>8466</v>
      </c>
      <c r="AE22" s="5">
        <f t="shared" si="6"/>
        <v>0.70892647797688835</v>
      </c>
      <c r="AF22" s="4">
        <f t="shared" si="7"/>
        <v>0</v>
      </c>
      <c r="AG22" s="5">
        <f t="shared" si="8"/>
        <v>0</v>
      </c>
      <c r="AH22" s="4">
        <f t="shared" si="9"/>
        <v>400</v>
      </c>
      <c r="AI22" s="4">
        <f t="shared" si="10"/>
        <v>20</v>
      </c>
      <c r="AJ22" s="7">
        <f t="shared" si="11"/>
        <v>1.6666666666666667</v>
      </c>
      <c r="AK22" s="4">
        <f t="shared" si="12"/>
        <v>187.5</v>
      </c>
      <c r="AL22" s="4">
        <f t="shared" si="13"/>
        <v>1.2</v>
      </c>
      <c r="AM22" s="10">
        <f t="shared" si="14"/>
        <v>2.1333333333333333</v>
      </c>
      <c r="AN22" s="4">
        <f t="shared" si="15"/>
        <v>80</v>
      </c>
      <c r="AO22" s="4">
        <f t="shared" si="16"/>
        <v>4</v>
      </c>
      <c r="AP22" s="4">
        <f t="shared" si="17"/>
        <v>5</v>
      </c>
      <c r="AQ22" s="4">
        <f t="shared" si="18"/>
        <v>240</v>
      </c>
    </row>
    <row r="23" spans="1:43" x14ac:dyDescent="0.3">
      <c r="A23" s="2" t="s">
        <v>62</v>
      </c>
      <c r="B23" s="2" t="s">
        <v>78</v>
      </c>
      <c r="C23" s="2" t="s">
        <v>81</v>
      </c>
      <c r="D23" s="2" t="s">
        <v>82</v>
      </c>
      <c r="E23" s="2">
        <v>21.371836999999999</v>
      </c>
      <c r="F23" s="2">
        <v>39.985979</v>
      </c>
      <c r="G23" s="3">
        <v>0</v>
      </c>
      <c r="H23" s="3">
        <v>0</v>
      </c>
      <c r="I23" s="3">
        <v>100</v>
      </c>
      <c r="J23" s="3">
        <v>30</v>
      </c>
      <c r="K23" s="3">
        <v>0</v>
      </c>
      <c r="L23" s="3">
        <v>18</v>
      </c>
      <c r="M23" s="3">
        <v>10200</v>
      </c>
      <c r="N23" s="3"/>
      <c r="O23" s="3">
        <v>0</v>
      </c>
      <c r="P23" s="3"/>
      <c r="Q23" s="3">
        <v>200</v>
      </c>
      <c r="R23" s="3">
        <v>4</v>
      </c>
      <c r="S23" s="3"/>
      <c r="T23" s="3">
        <v>0.5</v>
      </c>
      <c r="U23" s="3">
        <v>0.8</v>
      </c>
      <c r="V23" s="3">
        <v>10.56</v>
      </c>
      <c r="W23" s="3">
        <v>1.44</v>
      </c>
      <c r="X23" s="3">
        <f t="shared" si="0"/>
        <v>12</v>
      </c>
      <c r="Y23" s="3">
        <f t="shared" si="1"/>
        <v>4913.28</v>
      </c>
      <c r="Z23" s="3">
        <v>0</v>
      </c>
      <c r="AA23" s="4">
        <f t="shared" si="2"/>
        <v>31.28</v>
      </c>
      <c r="AB23" s="7">
        <f t="shared" si="3"/>
        <v>20.88</v>
      </c>
      <c r="AC23" s="4">
        <f t="shared" si="4"/>
        <v>18</v>
      </c>
      <c r="AD23" s="9">
        <f t="shared" si="5"/>
        <v>8466</v>
      </c>
      <c r="AE23" s="5">
        <f t="shared" si="6"/>
        <v>0.70892647797688835</v>
      </c>
      <c r="AF23" s="4">
        <f t="shared" si="7"/>
        <v>0</v>
      </c>
      <c r="AG23" s="5">
        <f t="shared" si="8"/>
        <v>0</v>
      </c>
      <c r="AH23" s="4">
        <f t="shared" si="9"/>
        <v>400</v>
      </c>
      <c r="AI23" s="4">
        <f t="shared" si="10"/>
        <v>20</v>
      </c>
      <c r="AJ23" s="7">
        <f t="shared" si="11"/>
        <v>1.6666666666666667</v>
      </c>
      <c r="AK23" s="4">
        <f t="shared" si="12"/>
        <v>225</v>
      </c>
      <c r="AL23" s="4">
        <f t="shared" si="13"/>
        <v>1.44</v>
      </c>
      <c r="AM23" s="10">
        <f t="shared" si="14"/>
        <v>1.7777777777777777</v>
      </c>
      <c r="AN23" s="4">
        <f t="shared" si="15"/>
        <v>80</v>
      </c>
      <c r="AO23" s="4">
        <f t="shared" si="16"/>
        <v>4</v>
      </c>
      <c r="AP23" s="4">
        <f t="shared" si="17"/>
        <v>5</v>
      </c>
      <c r="AQ23" s="4">
        <f t="shared" si="18"/>
        <v>240</v>
      </c>
    </row>
    <row r="24" spans="1:43" x14ac:dyDescent="0.3">
      <c r="A24" s="2" t="s">
        <v>63</v>
      </c>
      <c r="B24" s="2" t="s">
        <v>78</v>
      </c>
      <c r="C24" s="2" t="s">
        <v>81</v>
      </c>
      <c r="D24" s="2" t="s">
        <v>82</v>
      </c>
      <c r="E24" s="2">
        <v>21.362580000000001</v>
      </c>
      <c r="F24" s="2">
        <v>39.969059999999999</v>
      </c>
      <c r="G24" s="3">
        <v>0</v>
      </c>
      <c r="H24" s="3">
        <v>0</v>
      </c>
      <c r="I24" s="3">
        <v>100</v>
      </c>
      <c r="J24" s="3">
        <v>30</v>
      </c>
      <c r="K24" s="3">
        <v>0</v>
      </c>
      <c r="L24" s="3">
        <v>15</v>
      </c>
      <c r="M24" s="3">
        <v>10200</v>
      </c>
      <c r="N24" s="3"/>
      <c r="O24" s="3">
        <v>0</v>
      </c>
      <c r="P24" s="3"/>
      <c r="Q24" s="3">
        <v>200</v>
      </c>
      <c r="R24" s="3">
        <v>4</v>
      </c>
      <c r="S24" s="3"/>
      <c r="T24" s="3">
        <v>0.5</v>
      </c>
      <c r="U24" s="3">
        <v>0.8</v>
      </c>
      <c r="V24" s="3">
        <v>10.56</v>
      </c>
      <c r="W24" s="3">
        <v>1.44</v>
      </c>
      <c r="X24" s="3">
        <f t="shared" si="0"/>
        <v>12</v>
      </c>
      <c r="Y24" s="3">
        <f t="shared" si="1"/>
        <v>4913.28</v>
      </c>
      <c r="Z24" s="3">
        <v>0</v>
      </c>
      <c r="AA24" s="4">
        <f t="shared" si="2"/>
        <v>31.28</v>
      </c>
      <c r="AB24" s="7">
        <f t="shared" si="3"/>
        <v>20.88</v>
      </c>
      <c r="AC24" s="4">
        <f t="shared" si="4"/>
        <v>15</v>
      </c>
      <c r="AD24" s="9">
        <f t="shared" si="5"/>
        <v>8466</v>
      </c>
      <c r="AE24" s="5">
        <f t="shared" si="6"/>
        <v>0.70892647797688835</v>
      </c>
      <c r="AF24" s="4">
        <f t="shared" si="7"/>
        <v>0</v>
      </c>
      <c r="AG24" s="5">
        <f t="shared" si="8"/>
        <v>0</v>
      </c>
      <c r="AH24" s="4">
        <f t="shared" si="9"/>
        <v>400</v>
      </c>
      <c r="AI24" s="4">
        <f t="shared" si="10"/>
        <v>20</v>
      </c>
      <c r="AJ24" s="7">
        <f t="shared" si="11"/>
        <v>1.6666666666666667</v>
      </c>
      <c r="AK24" s="4">
        <f t="shared" si="12"/>
        <v>187.5</v>
      </c>
      <c r="AL24" s="4">
        <f t="shared" si="13"/>
        <v>1.2</v>
      </c>
      <c r="AM24" s="10">
        <f t="shared" si="14"/>
        <v>2.1333333333333333</v>
      </c>
      <c r="AN24" s="4">
        <f t="shared" si="15"/>
        <v>80</v>
      </c>
      <c r="AO24" s="4">
        <f t="shared" si="16"/>
        <v>4</v>
      </c>
      <c r="AP24" s="4">
        <f t="shared" si="17"/>
        <v>5</v>
      </c>
      <c r="AQ24" s="4">
        <f t="shared" si="18"/>
        <v>240</v>
      </c>
    </row>
    <row r="25" spans="1:43" x14ac:dyDescent="0.3">
      <c r="A25" s="2" t="s">
        <v>64</v>
      </c>
      <c r="B25" s="2" t="s">
        <v>78</v>
      </c>
      <c r="C25" s="2" t="s">
        <v>81</v>
      </c>
      <c r="D25" s="2" t="s">
        <v>82</v>
      </c>
      <c r="E25" s="2">
        <v>21.350470000000001</v>
      </c>
      <c r="F25" s="2">
        <v>39.968130000000002</v>
      </c>
      <c r="G25" s="3">
        <v>0</v>
      </c>
      <c r="H25" s="3">
        <v>0</v>
      </c>
      <c r="I25" s="3">
        <v>100</v>
      </c>
      <c r="J25" s="3">
        <v>35</v>
      </c>
      <c r="K25" s="3">
        <v>2350</v>
      </c>
      <c r="L25" s="3">
        <v>24</v>
      </c>
      <c r="M25" s="3">
        <v>10200</v>
      </c>
      <c r="N25" s="3"/>
      <c r="O25" s="3">
        <v>0</v>
      </c>
      <c r="P25" s="3"/>
      <c r="Q25" s="3">
        <v>200</v>
      </c>
      <c r="R25" s="3">
        <v>4</v>
      </c>
      <c r="S25" s="3"/>
      <c r="T25" s="3">
        <v>0.5</v>
      </c>
      <c r="U25" s="3">
        <v>0.8</v>
      </c>
      <c r="V25" s="3">
        <v>13.2</v>
      </c>
      <c r="W25" s="3">
        <v>1.7999999999999998</v>
      </c>
      <c r="X25" s="3">
        <f t="shared" si="0"/>
        <v>15</v>
      </c>
      <c r="Y25" s="3">
        <f t="shared" si="1"/>
        <v>6141.5999999999995</v>
      </c>
      <c r="Z25" s="3">
        <v>0</v>
      </c>
      <c r="AA25" s="4">
        <f t="shared" si="2"/>
        <v>31.28</v>
      </c>
      <c r="AB25" s="7">
        <f t="shared" si="3"/>
        <v>24.163952054794521</v>
      </c>
      <c r="AC25" s="4">
        <f t="shared" si="4"/>
        <v>24</v>
      </c>
      <c r="AD25" s="9">
        <f t="shared" si="5"/>
        <v>8466</v>
      </c>
      <c r="AE25" s="5">
        <f t="shared" si="6"/>
        <v>0.70892647797688835</v>
      </c>
      <c r="AF25" s="4">
        <f t="shared" si="7"/>
        <v>0</v>
      </c>
      <c r="AG25" s="5">
        <f t="shared" si="8"/>
        <v>0</v>
      </c>
      <c r="AH25" s="4">
        <f t="shared" si="9"/>
        <v>400</v>
      </c>
      <c r="AI25" s="4">
        <f t="shared" si="10"/>
        <v>20</v>
      </c>
      <c r="AJ25" s="7">
        <f t="shared" si="11"/>
        <v>1.3333333333333333</v>
      </c>
      <c r="AK25" s="4">
        <f t="shared" si="12"/>
        <v>300</v>
      </c>
      <c r="AL25" s="4">
        <f t="shared" si="13"/>
        <v>1.92</v>
      </c>
      <c r="AM25" s="10">
        <f t="shared" si="14"/>
        <v>1.3333333333333333</v>
      </c>
      <c r="AN25" s="4">
        <f t="shared" si="15"/>
        <v>80</v>
      </c>
      <c r="AO25" s="4">
        <f t="shared" si="16"/>
        <v>4</v>
      </c>
      <c r="AP25" s="4">
        <f t="shared" si="17"/>
        <v>5</v>
      </c>
      <c r="AQ25" s="4">
        <f t="shared" si="18"/>
        <v>300</v>
      </c>
    </row>
    <row r="26" spans="1:43" x14ac:dyDescent="0.3">
      <c r="A26" s="2" t="s">
        <v>65</v>
      </c>
      <c r="B26" s="2" t="s">
        <v>79</v>
      </c>
      <c r="C26" s="2" t="s">
        <v>81</v>
      </c>
      <c r="D26" s="2" t="s">
        <v>82</v>
      </c>
      <c r="E26" s="2">
        <v>21.372651999999999</v>
      </c>
      <c r="F26" s="2">
        <v>39.989533000000002</v>
      </c>
      <c r="G26" s="3">
        <v>30</v>
      </c>
      <c r="H26" s="3">
        <v>12495</v>
      </c>
      <c r="I26" s="3">
        <v>0</v>
      </c>
      <c r="J26" s="3">
        <v>0</v>
      </c>
      <c r="K26" s="3">
        <v>0</v>
      </c>
      <c r="L26" s="3">
        <v>18</v>
      </c>
      <c r="M26" s="3">
        <v>10200</v>
      </c>
      <c r="N26" s="3"/>
      <c r="O26" s="3">
        <v>0</v>
      </c>
      <c r="P26" s="3"/>
      <c r="Q26" s="3">
        <v>200</v>
      </c>
      <c r="R26" s="3">
        <v>4</v>
      </c>
      <c r="S26" s="3"/>
      <c r="T26" s="3">
        <v>0.5</v>
      </c>
      <c r="U26" s="3">
        <v>0.8</v>
      </c>
      <c r="V26" s="3">
        <v>0</v>
      </c>
      <c r="W26" s="3">
        <v>0</v>
      </c>
      <c r="X26" s="3">
        <f t="shared" si="0"/>
        <v>0</v>
      </c>
      <c r="Y26" s="3">
        <f t="shared" si="1"/>
        <v>0</v>
      </c>
      <c r="Z26" s="6">
        <f>G26*0.8*0.87*(1-0.03*H26/8760)</f>
        <v>19.986521917808219</v>
      </c>
      <c r="AA26" s="4">
        <f t="shared" si="2"/>
        <v>0</v>
      </c>
      <c r="AB26" s="7">
        <f t="shared" si="3"/>
        <v>0</v>
      </c>
      <c r="AC26" s="4">
        <f t="shared" si="4"/>
        <v>18</v>
      </c>
      <c r="AD26" s="9">
        <f t="shared" si="5"/>
        <v>8466</v>
      </c>
      <c r="AE26" s="5">
        <f t="shared" si="6"/>
        <v>0.70892647797688835</v>
      </c>
      <c r="AF26" s="4">
        <f t="shared" si="7"/>
        <v>0</v>
      </c>
      <c r="AG26" s="5">
        <f t="shared" si="8"/>
        <v>0</v>
      </c>
      <c r="AH26" s="4">
        <f t="shared" si="9"/>
        <v>400</v>
      </c>
      <c r="AI26" s="4">
        <f t="shared" si="10"/>
        <v>20</v>
      </c>
      <c r="AJ26" s="7"/>
      <c r="AK26" s="4">
        <f t="shared" si="12"/>
        <v>225</v>
      </c>
      <c r="AL26" s="4">
        <f t="shared" si="13"/>
        <v>1.44</v>
      </c>
      <c r="AM26" s="10">
        <f t="shared" si="14"/>
        <v>1.7777777777777777</v>
      </c>
      <c r="AN26" s="4">
        <f t="shared" si="15"/>
        <v>80</v>
      </c>
      <c r="AO26" s="4">
        <f t="shared" si="16"/>
        <v>4</v>
      </c>
      <c r="AP26" s="4">
        <f t="shared" si="17"/>
        <v>5</v>
      </c>
      <c r="AQ26" s="4">
        <f t="shared" si="18"/>
        <v>0</v>
      </c>
    </row>
    <row r="27" spans="1:43" x14ac:dyDescent="0.3">
      <c r="A27" s="2" t="s">
        <v>66</v>
      </c>
      <c r="B27" s="2" t="s">
        <v>78</v>
      </c>
      <c r="C27" s="2" t="s">
        <v>81</v>
      </c>
      <c r="D27" s="2" t="s">
        <v>82</v>
      </c>
      <c r="E27" s="2">
        <v>21.354658000000001</v>
      </c>
      <c r="F27" s="2">
        <v>39.986218000000001</v>
      </c>
      <c r="G27" s="3">
        <v>0</v>
      </c>
      <c r="H27" s="3">
        <v>0</v>
      </c>
      <c r="I27" s="3">
        <v>100</v>
      </c>
      <c r="J27" s="3">
        <v>35</v>
      </c>
      <c r="K27" s="3">
        <v>0</v>
      </c>
      <c r="L27" s="3">
        <v>24</v>
      </c>
      <c r="M27" s="3">
        <v>10200</v>
      </c>
      <c r="N27" s="3"/>
      <c r="O27" s="3">
        <v>0</v>
      </c>
      <c r="P27" s="3"/>
      <c r="Q27" s="3">
        <v>200</v>
      </c>
      <c r="R27" s="3">
        <v>4</v>
      </c>
      <c r="S27" s="3"/>
      <c r="T27" s="3">
        <v>0.5</v>
      </c>
      <c r="U27" s="3">
        <v>0.8</v>
      </c>
      <c r="V27" s="3">
        <v>14.96</v>
      </c>
      <c r="W27" s="3">
        <v>2.04</v>
      </c>
      <c r="X27" s="3">
        <f t="shared" si="0"/>
        <v>17</v>
      </c>
      <c r="Y27" s="3">
        <f t="shared" si="1"/>
        <v>6960.4800000000005</v>
      </c>
      <c r="Z27" s="3">
        <v>0</v>
      </c>
      <c r="AA27" s="4">
        <f t="shared" si="2"/>
        <v>31.28</v>
      </c>
      <c r="AB27" s="7">
        <f t="shared" si="3"/>
        <v>24.36</v>
      </c>
      <c r="AC27" s="4">
        <f t="shared" si="4"/>
        <v>24</v>
      </c>
      <c r="AD27" s="9">
        <f t="shared" si="5"/>
        <v>8466</v>
      </c>
      <c r="AE27" s="5">
        <f t="shared" si="6"/>
        <v>0.70892647797688835</v>
      </c>
      <c r="AF27" s="4">
        <f t="shared" si="7"/>
        <v>0</v>
      </c>
      <c r="AG27" s="5">
        <f t="shared" si="8"/>
        <v>0</v>
      </c>
      <c r="AH27" s="4">
        <f t="shared" si="9"/>
        <v>400</v>
      </c>
      <c r="AI27" s="4">
        <f t="shared" si="10"/>
        <v>20</v>
      </c>
      <c r="AJ27" s="7">
        <f t="shared" si="11"/>
        <v>1.1764705882352942</v>
      </c>
      <c r="AK27" s="4">
        <f t="shared" si="12"/>
        <v>300</v>
      </c>
      <c r="AL27" s="4">
        <f t="shared" si="13"/>
        <v>1.92</v>
      </c>
      <c r="AM27" s="10">
        <f t="shared" si="14"/>
        <v>1.3333333333333333</v>
      </c>
      <c r="AN27" s="4">
        <f t="shared" si="15"/>
        <v>80</v>
      </c>
      <c r="AO27" s="4">
        <f t="shared" si="16"/>
        <v>4</v>
      </c>
      <c r="AP27" s="4">
        <f t="shared" si="17"/>
        <v>5</v>
      </c>
      <c r="AQ27" s="4">
        <f t="shared" si="18"/>
        <v>340</v>
      </c>
    </row>
    <row r="28" spans="1:43" x14ac:dyDescent="0.3">
      <c r="A28" s="2" t="s">
        <v>67</v>
      </c>
      <c r="B28" s="2" t="s">
        <v>78</v>
      </c>
      <c r="C28" s="2" t="s">
        <v>81</v>
      </c>
      <c r="D28" s="2" t="s">
        <v>82</v>
      </c>
      <c r="E28" s="2">
        <v>21.365421000000001</v>
      </c>
      <c r="F28" s="2">
        <v>39.971660999999997</v>
      </c>
      <c r="G28" s="3">
        <v>0</v>
      </c>
      <c r="H28" s="3">
        <v>0</v>
      </c>
      <c r="I28" s="3">
        <v>100</v>
      </c>
      <c r="J28" s="3">
        <v>30</v>
      </c>
      <c r="K28" s="3">
        <v>0</v>
      </c>
      <c r="L28" s="3">
        <v>18</v>
      </c>
      <c r="M28" s="3">
        <v>10200</v>
      </c>
      <c r="N28" s="3"/>
      <c r="O28" s="3">
        <v>0</v>
      </c>
      <c r="P28" s="3"/>
      <c r="Q28" s="3">
        <v>200</v>
      </c>
      <c r="R28" s="3">
        <v>4</v>
      </c>
      <c r="S28" s="3"/>
      <c r="T28" s="3">
        <v>0.5</v>
      </c>
      <c r="U28" s="3">
        <v>0.8</v>
      </c>
      <c r="V28" s="3">
        <v>10.56</v>
      </c>
      <c r="W28" s="3">
        <v>1.44</v>
      </c>
      <c r="X28" s="3">
        <f t="shared" si="0"/>
        <v>12</v>
      </c>
      <c r="Y28" s="3">
        <f t="shared" si="1"/>
        <v>4913.28</v>
      </c>
      <c r="Z28" s="3">
        <v>0</v>
      </c>
      <c r="AA28" s="4">
        <f t="shared" si="2"/>
        <v>31.28</v>
      </c>
      <c r="AB28" s="7">
        <f t="shared" si="3"/>
        <v>20.88</v>
      </c>
      <c r="AC28" s="4">
        <f t="shared" si="4"/>
        <v>18</v>
      </c>
      <c r="AD28" s="9">
        <f t="shared" si="5"/>
        <v>8466</v>
      </c>
      <c r="AE28" s="5">
        <f t="shared" si="6"/>
        <v>0.70892647797688835</v>
      </c>
      <c r="AF28" s="4">
        <f t="shared" si="7"/>
        <v>0</v>
      </c>
      <c r="AG28" s="5">
        <f t="shared" si="8"/>
        <v>0</v>
      </c>
      <c r="AH28" s="4">
        <f t="shared" si="9"/>
        <v>400</v>
      </c>
      <c r="AI28" s="4">
        <f t="shared" si="10"/>
        <v>20</v>
      </c>
      <c r="AJ28" s="7">
        <f t="shared" si="11"/>
        <v>1.6666666666666667</v>
      </c>
      <c r="AK28" s="4">
        <f t="shared" si="12"/>
        <v>225</v>
      </c>
      <c r="AL28" s="4">
        <f t="shared" si="13"/>
        <v>1.44</v>
      </c>
      <c r="AM28" s="10">
        <f t="shared" si="14"/>
        <v>1.7777777777777777</v>
      </c>
      <c r="AN28" s="4">
        <f t="shared" si="15"/>
        <v>80</v>
      </c>
      <c r="AO28" s="4">
        <f t="shared" si="16"/>
        <v>4</v>
      </c>
      <c r="AP28" s="4">
        <f t="shared" si="17"/>
        <v>5</v>
      </c>
      <c r="AQ28" s="4">
        <f t="shared" si="18"/>
        <v>240</v>
      </c>
    </row>
    <row r="29" spans="1:43" x14ac:dyDescent="0.3">
      <c r="A29" s="2" t="s">
        <v>68</v>
      </c>
      <c r="B29" s="2" t="s">
        <v>78</v>
      </c>
      <c r="C29" s="2" t="s">
        <v>81</v>
      </c>
      <c r="D29" s="2" t="s">
        <v>82</v>
      </c>
      <c r="E29" s="2">
        <v>21.377645000000001</v>
      </c>
      <c r="F29" s="2">
        <v>39.986815999999997</v>
      </c>
      <c r="G29" s="3">
        <v>0</v>
      </c>
      <c r="H29" s="3">
        <v>0</v>
      </c>
      <c r="I29" s="3">
        <v>100</v>
      </c>
      <c r="J29" s="3">
        <v>30</v>
      </c>
      <c r="K29" s="3">
        <v>0</v>
      </c>
      <c r="L29" s="3">
        <v>18</v>
      </c>
      <c r="M29" s="3">
        <v>10200</v>
      </c>
      <c r="N29" s="3"/>
      <c r="O29" s="3">
        <v>0</v>
      </c>
      <c r="P29" s="3"/>
      <c r="Q29" s="3">
        <v>200</v>
      </c>
      <c r="R29" s="3">
        <v>4</v>
      </c>
      <c r="S29" s="3"/>
      <c r="T29" s="3">
        <v>0.5</v>
      </c>
      <c r="U29" s="3">
        <v>0.8</v>
      </c>
      <c r="V29" s="3">
        <v>10.56</v>
      </c>
      <c r="W29" s="3">
        <v>1.44</v>
      </c>
      <c r="X29" s="3">
        <f t="shared" si="0"/>
        <v>12</v>
      </c>
      <c r="Y29" s="3">
        <f t="shared" si="1"/>
        <v>4913.28</v>
      </c>
      <c r="Z29" s="3">
        <v>0</v>
      </c>
      <c r="AA29" s="4">
        <f t="shared" si="2"/>
        <v>31.28</v>
      </c>
      <c r="AB29" s="7">
        <f t="shared" si="3"/>
        <v>20.88</v>
      </c>
      <c r="AC29" s="4">
        <f t="shared" si="4"/>
        <v>18</v>
      </c>
      <c r="AD29" s="9">
        <f t="shared" si="5"/>
        <v>8466</v>
      </c>
      <c r="AE29" s="5">
        <f t="shared" si="6"/>
        <v>0.70892647797688835</v>
      </c>
      <c r="AF29" s="4">
        <f t="shared" si="7"/>
        <v>0</v>
      </c>
      <c r="AG29" s="5">
        <f t="shared" si="8"/>
        <v>0</v>
      </c>
      <c r="AH29" s="4">
        <f t="shared" si="9"/>
        <v>400</v>
      </c>
      <c r="AI29" s="4">
        <f t="shared" si="10"/>
        <v>20</v>
      </c>
      <c r="AJ29" s="7">
        <f t="shared" si="11"/>
        <v>1.6666666666666667</v>
      </c>
      <c r="AK29" s="4">
        <f t="shared" si="12"/>
        <v>225</v>
      </c>
      <c r="AL29" s="4">
        <f t="shared" si="13"/>
        <v>1.44</v>
      </c>
      <c r="AM29" s="10">
        <f t="shared" si="14"/>
        <v>1.7777777777777777</v>
      </c>
      <c r="AN29" s="4">
        <f t="shared" si="15"/>
        <v>80</v>
      </c>
      <c r="AO29" s="4">
        <f t="shared" si="16"/>
        <v>4</v>
      </c>
      <c r="AP29" s="4">
        <f t="shared" si="17"/>
        <v>5</v>
      </c>
      <c r="AQ29" s="4">
        <f t="shared" si="18"/>
        <v>240</v>
      </c>
    </row>
    <row r="30" spans="1:43" x14ac:dyDescent="0.3">
      <c r="A30" s="2" t="s">
        <v>69</v>
      </c>
      <c r="B30" s="2" t="s">
        <v>78</v>
      </c>
      <c r="C30" s="2" t="s">
        <v>81</v>
      </c>
      <c r="D30" s="2" t="s">
        <v>82</v>
      </c>
      <c r="E30" s="2">
        <v>21.366123999999999</v>
      </c>
      <c r="F30" s="2">
        <v>39.984126000000003</v>
      </c>
      <c r="G30" s="3">
        <v>0</v>
      </c>
      <c r="H30" s="3">
        <v>0</v>
      </c>
      <c r="I30" s="3">
        <v>100</v>
      </c>
      <c r="J30" s="3">
        <v>35</v>
      </c>
      <c r="K30" s="3">
        <v>0</v>
      </c>
      <c r="L30" s="3">
        <v>21</v>
      </c>
      <c r="M30" s="3">
        <v>10200</v>
      </c>
      <c r="N30" s="3"/>
      <c r="O30" s="3">
        <v>0</v>
      </c>
      <c r="P30" s="3"/>
      <c r="Q30" s="3">
        <v>200</v>
      </c>
      <c r="R30" s="3">
        <v>4</v>
      </c>
      <c r="S30" s="3"/>
      <c r="T30" s="3">
        <v>0.5</v>
      </c>
      <c r="U30" s="3">
        <v>0.8</v>
      </c>
      <c r="V30" s="3">
        <v>13.2</v>
      </c>
      <c r="W30" s="3">
        <v>1.7999999999999998</v>
      </c>
      <c r="X30" s="3">
        <f t="shared" si="0"/>
        <v>15</v>
      </c>
      <c r="Y30" s="3">
        <f t="shared" si="1"/>
        <v>6141.5999999999995</v>
      </c>
      <c r="Z30" s="3">
        <v>0</v>
      </c>
      <c r="AA30" s="4">
        <f t="shared" si="2"/>
        <v>31.28</v>
      </c>
      <c r="AB30" s="7">
        <f t="shared" si="3"/>
        <v>24.36</v>
      </c>
      <c r="AC30" s="4">
        <f t="shared" si="4"/>
        <v>21</v>
      </c>
      <c r="AD30" s="9">
        <f t="shared" si="5"/>
        <v>8466</v>
      </c>
      <c r="AE30" s="5">
        <f t="shared" si="6"/>
        <v>0.70892647797688835</v>
      </c>
      <c r="AF30" s="4">
        <f t="shared" si="7"/>
        <v>0</v>
      </c>
      <c r="AG30" s="5">
        <f t="shared" si="8"/>
        <v>0</v>
      </c>
      <c r="AH30" s="4">
        <f t="shared" si="9"/>
        <v>400</v>
      </c>
      <c r="AI30" s="4">
        <f t="shared" si="10"/>
        <v>20</v>
      </c>
      <c r="AJ30" s="7">
        <f t="shared" si="11"/>
        <v>1.3333333333333333</v>
      </c>
      <c r="AK30" s="4">
        <f t="shared" si="12"/>
        <v>262.5</v>
      </c>
      <c r="AL30" s="4">
        <f t="shared" si="13"/>
        <v>1.68</v>
      </c>
      <c r="AM30" s="10">
        <f t="shared" si="14"/>
        <v>1.5238095238095237</v>
      </c>
      <c r="AN30" s="4">
        <f t="shared" si="15"/>
        <v>80</v>
      </c>
      <c r="AO30" s="4">
        <f t="shared" si="16"/>
        <v>4</v>
      </c>
      <c r="AP30" s="4">
        <f t="shared" si="17"/>
        <v>5</v>
      </c>
      <c r="AQ30" s="4">
        <f t="shared" si="18"/>
        <v>300</v>
      </c>
    </row>
    <row r="31" spans="1:43" x14ac:dyDescent="0.3">
      <c r="A31" s="2" t="s">
        <v>70</v>
      </c>
      <c r="B31" s="2" t="s">
        <v>78</v>
      </c>
      <c r="C31" s="2" t="s">
        <v>81</v>
      </c>
      <c r="D31" s="2" t="s">
        <v>83</v>
      </c>
      <c r="E31" s="2">
        <v>21.389249</v>
      </c>
      <c r="F31" s="2">
        <v>39.906894999999999</v>
      </c>
      <c r="G31" s="3">
        <v>0</v>
      </c>
      <c r="H31" s="3">
        <v>0</v>
      </c>
      <c r="I31" s="3">
        <v>60</v>
      </c>
      <c r="J31" s="3">
        <v>30</v>
      </c>
      <c r="K31" s="3">
        <v>0</v>
      </c>
      <c r="L31" s="3">
        <v>15</v>
      </c>
      <c r="M31" s="3">
        <v>10200</v>
      </c>
      <c r="N31" s="3"/>
      <c r="O31" s="3">
        <v>0</v>
      </c>
      <c r="P31" s="3"/>
      <c r="Q31" s="3">
        <v>190</v>
      </c>
      <c r="R31" s="3">
        <v>4</v>
      </c>
      <c r="S31" s="3"/>
      <c r="T31" s="3">
        <v>0.5</v>
      </c>
      <c r="U31" s="3">
        <v>0.8</v>
      </c>
      <c r="V31" s="3">
        <v>10.56</v>
      </c>
      <c r="W31" s="3">
        <v>1.44</v>
      </c>
      <c r="X31" s="3">
        <f t="shared" si="0"/>
        <v>12</v>
      </c>
      <c r="Y31" s="3">
        <f t="shared" si="1"/>
        <v>4913.28</v>
      </c>
      <c r="Z31" s="3">
        <v>0</v>
      </c>
      <c r="AA31" s="4">
        <f t="shared" si="2"/>
        <v>18.768000000000004</v>
      </c>
      <c r="AB31" s="7">
        <f t="shared" si="3"/>
        <v>20.88</v>
      </c>
      <c r="AC31" s="4">
        <f t="shared" si="4"/>
        <v>15</v>
      </c>
      <c r="AD31" s="9">
        <f t="shared" si="5"/>
        <v>8466</v>
      </c>
      <c r="AE31" s="5">
        <f t="shared" si="6"/>
        <v>0.70892647797688835</v>
      </c>
      <c r="AF31" s="4">
        <f t="shared" si="7"/>
        <v>0</v>
      </c>
      <c r="AG31" s="5">
        <f t="shared" si="8"/>
        <v>0</v>
      </c>
      <c r="AH31" s="4">
        <f t="shared" si="9"/>
        <v>380</v>
      </c>
      <c r="AI31" s="4">
        <f t="shared" si="10"/>
        <v>19</v>
      </c>
      <c r="AJ31" s="7">
        <f t="shared" si="11"/>
        <v>1.5833333333333333</v>
      </c>
      <c r="AK31" s="4">
        <f t="shared" si="12"/>
        <v>187.5</v>
      </c>
      <c r="AL31" s="4">
        <f t="shared" si="13"/>
        <v>1.2</v>
      </c>
      <c r="AM31" s="10">
        <f t="shared" si="14"/>
        <v>2.0266666666666668</v>
      </c>
      <c r="AN31" s="4">
        <f t="shared" si="15"/>
        <v>76</v>
      </c>
      <c r="AO31" s="4">
        <f t="shared" si="16"/>
        <v>3.8</v>
      </c>
      <c r="AP31" s="4">
        <f t="shared" si="17"/>
        <v>5</v>
      </c>
      <c r="AQ31" s="4">
        <f t="shared" si="18"/>
        <v>240</v>
      </c>
    </row>
    <row r="32" spans="1:43" x14ac:dyDescent="0.3">
      <c r="A32" s="2" t="s">
        <v>71</v>
      </c>
      <c r="B32" s="2" t="s">
        <v>79</v>
      </c>
      <c r="C32" s="2" t="s">
        <v>81</v>
      </c>
      <c r="D32" s="2" t="s">
        <v>83</v>
      </c>
      <c r="E32" s="2">
        <v>21.396241</v>
      </c>
      <c r="F32" s="2">
        <v>39.914628</v>
      </c>
      <c r="G32" s="3">
        <v>30</v>
      </c>
      <c r="H32" s="3">
        <v>3492</v>
      </c>
      <c r="I32" s="3">
        <v>0</v>
      </c>
      <c r="J32" s="3">
        <v>0</v>
      </c>
      <c r="K32" s="3">
        <v>0</v>
      </c>
      <c r="L32" s="3">
        <v>24</v>
      </c>
      <c r="M32" s="3">
        <v>10200</v>
      </c>
      <c r="N32" s="3"/>
      <c r="O32" s="3">
        <v>0</v>
      </c>
      <c r="P32" s="3"/>
      <c r="Q32" s="3">
        <v>200</v>
      </c>
      <c r="R32" s="3">
        <v>4</v>
      </c>
      <c r="S32" s="3"/>
      <c r="T32" s="3">
        <v>0.5</v>
      </c>
      <c r="U32" s="3">
        <v>0.8</v>
      </c>
      <c r="V32" s="3">
        <v>0</v>
      </c>
      <c r="W32" s="3">
        <v>0</v>
      </c>
      <c r="X32" s="3">
        <f t="shared" si="0"/>
        <v>0</v>
      </c>
      <c r="Y32" s="3">
        <f t="shared" si="1"/>
        <v>0</v>
      </c>
      <c r="Z32" s="6">
        <f>G32*0.8*0.87*(1-0.03*H32/8760)</f>
        <v>20.630298082191782</v>
      </c>
      <c r="AA32" s="4">
        <f t="shared" si="2"/>
        <v>0</v>
      </c>
      <c r="AB32" s="7">
        <f t="shared" si="3"/>
        <v>0</v>
      </c>
      <c r="AC32" s="4">
        <f t="shared" si="4"/>
        <v>24</v>
      </c>
      <c r="AD32" s="9">
        <f t="shared" si="5"/>
        <v>8466</v>
      </c>
      <c r="AE32" s="5">
        <f t="shared" si="6"/>
        <v>0.70892647797688835</v>
      </c>
      <c r="AF32" s="4">
        <f t="shared" si="7"/>
        <v>0</v>
      </c>
      <c r="AG32" s="5">
        <f t="shared" si="8"/>
        <v>0</v>
      </c>
      <c r="AH32" s="4">
        <f t="shared" si="9"/>
        <v>400</v>
      </c>
      <c r="AI32" s="4">
        <f t="shared" si="10"/>
        <v>20</v>
      </c>
      <c r="AJ32" s="7"/>
      <c r="AK32" s="4">
        <f t="shared" si="12"/>
        <v>300</v>
      </c>
      <c r="AL32" s="4">
        <f t="shared" si="13"/>
        <v>1.92</v>
      </c>
      <c r="AM32" s="10">
        <f t="shared" si="14"/>
        <v>1.3333333333333333</v>
      </c>
      <c r="AN32" s="4">
        <f t="shared" si="15"/>
        <v>80</v>
      </c>
      <c r="AO32" s="4">
        <f t="shared" si="16"/>
        <v>4</v>
      </c>
      <c r="AP32" s="4">
        <f t="shared" si="17"/>
        <v>5</v>
      </c>
      <c r="AQ32" s="4">
        <f t="shared" si="18"/>
        <v>0</v>
      </c>
    </row>
    <row r="33" spans="1:43" x14ac:dyDescent="0.3">
      <c r="A33" s="2" t="s">
        <v>72</v>
      </c>
      <c r="B33" s="2" t="s">
        <v>78</v>
      </c>
      <c r="C33" s="2" t="s">
        <v>81</v>
      </c>
      <c r="D33" s="2" t="s">
        <v>82</v>
      </c>
      <c r="E33" s="2">
        <v>21.347135000000002</v>
      </c>
      <c r="F33" s="2">
        <v>39.992573</v>
      </c>
      <c r="G33" s="3">
        <v>0</v>
      </c>
      <c r="H33" s="3">
        <v>0</v>
      </c>
      <c r="I33" s="3">
        <v>100</v>
      </c>
      <c r="J33" s="3">
        <v>45</v>
      </c>
      <c r="K33" s="3">
        <v>918</v>
      </c>
      <c r="L33" s="3">
        <v>21</v>
      </c>
      <c r="M33" s="3">
        <v>10200</v>
      </c>
      <c r="N33" s="3"/>
      <c r="O33" s="3">
        <v>10200</v>
      </c>
      <c r="P33" s="3"/>
      <c r="Q33" s="3">
        <v>200</v>
      </c>
      <c r="R33" s="3">
        <v>4</v>
      </c>
      <c r="S33" s="3"/>
      <c r="T33" s="3">
        <v>0.5</v>
      </c>
      <c r="U33" s="3">
        <v>0.8</v>
      </c>
      <c r="V33" s="3">
        <v>10.56</v>
      </c>
      <c r="W33" s="3">
        <v>1.44</v>
      </c>
      <c r="X33" s="3">
        <f t="shared" si="0"/>
        <v>12</v>
      </c>
      <c r="Y33" s="3">
        <f t="shared" si="1"/>
        <v>4913.28</v>
      </c>
      <c r="Z33" s="3">
        <v>0</v>
      </c>
      <c r="AA33" s="4">
        <f t="shared" si="2"/>
        <v>31.28</v>
      </c>
      <c r="AB33" s="7">
        <f>J33*0.8*0.87*(1-0.03*K33/8760)</f>
        <v>31.22153506849315</v>
      </c>
      <c r="AC33" s="4">
        <f t="shared" si="4"/>
        <v>21</v>
      </c>
      <c r="AD33" s="9">
        <f t="shared" si="5"/>
        <v>8466</v>
      </c>
      <c r="AE33" s="5">
        <f t="shared" si="6"/>
        <v>0.70892647797688835</v>
      </c>
      <c r="AF33" s="4">
        <f t="shared" si="7"/>
        <v>8466</v>
      </c>
      <c r="AG33" s="5">
        <f t="shared" si="8"/>
        <v>0.70892647797688835</v>
      </c>
      <c r="AH33" s="4">
        <f t="shared" si="9"/>
        <v>400</v>
      </c>
      <c r="AI33" s="4">
        <f t="shared" si="10"/>
        <v>20</v>
      </c>
      <c r="AJ33" s="7">
        <f t="shared" si="11"/>
        <v>1.6666666666666667</v>
      </c>
      <c r="AK33" s="4">
        <f t="shared" si="12"/>
        <v>262.5</v>
      </c>
      <c r="AL33" s="4">
        <f t="shared" si="13"/>
        <v>1.68</v>
      </c>
      <c r="AM33" s="10">
        <f t="shared" si="14"/>
        <v>1.5238095238095237</v>
      </c>
      <c r="AN33" s="4">
        <f t="shared" si="15"/>
        <v>80</v>
      </c>
      <c r="AO33" s="4">
        <f t="shared" si="16"/>
        <v>4</v>
      </c>
      <c r="AP33" s="4">
        <f t="shared" si="17"/>
        <v>5</v>
      </c>
      <c r="AQ33" s="4">
        <f t="shared" si="18"/>
        <v>240</v>
      </c>
    </row>
    <row r="34" spans="1:43" x14ac:dyDescent="0.3">
      <c r="A34" s="2" t="s">
        <v>73</v>
      </c>
      <c r="B34" s="2" t="s">
        <v>79</v>
      </c>
      <c r="C34" s="2" t="s">
        <v>81</v>
      </c>
      <c r="D34" s="2" t="s">
        <v>82</v>
      </c>
      <c r="E34" s="2">
        <v>21.348754</v>
      </c>
      <c r="F34" s="2">
        <v>39.995700999999997</v>
      </c>
      <c r="G34" s="3">
        <v>30</v>
      </c>
      <c r="H34" s="3">
        <v>9331</v>
      </c>
      <c r="I34" s="3">
        <v>0</v>
      </c>
      <c r="J34" s="3">
        <v>0</v>
      </c>
      <c r="K34" s="3">
        <v>0</v>
      </c>
      <c r="L34" s="3">
        <v>18</v>
      </c>
      <c r="M34" s="3">
        <v>10200</v>
      </c>
      <c r="N34" s="3"/>
      <c r="O34" s="3">
        <v>10200</v>
      </c>
      <c r="P34" s="3"/>
      <c r="Q34" s="3">
        <v>190</v>
      </c>
      <c r="R34" s="3">
        <v>4</v>
      </c>
      <c r="S34" s="3"/>
      <c r="T34" s="3">
        <v>0.5</v>
      </c>
      <c r="U34" s="3">
        <v>0.8</v>
      </c>
      <c r="V34" s="3">
        <v>10.56</v>
      </c>
      <c r="W34" s="3">
        <v>1.44</v>
      </c>
      <c r="X34" s="3">
        <f t="shared" si="0"/>
        <v>12</v>
      </c>
      <c r="Y34" s="3">
        <f t="shared" si="1"/>
        <v>4913.28</v>
      </c>
      <c r="Z34" s="6">
        <f t="shared" ref="Z34:Z35" si="21">G34*0.8*0.87*(1-0.03*H34/8760)</f>
        <v>20.212769589041095</v>
      </c>
      <c r="AA34" s="4">
        <f t="shared" si="2"/>
        <v>0</v>
      </c>
      <c r="AB34" s="7">
        <f t="shared" si="3"/>
        <v>0</v>
      </c>
      <c r="AC34" s="4">
        <f t="shared" si="4"/>
        <v>18</v>
      </c>
      <c r="AD34" s="9">
        <f t="shared" si="5"/>
        <v>8466</v>
      </c>
      <c r="AE34" s="5">
        <f t="shared" si="6"/>
        <v>0.70892647797688835</v>
      </c>
      <c r="AF34" s="4">
        <f t="shared" si="7"/>
        <v>8466</v>
      </c>
      <c r="AG34" s="5">
        <f t="shared" si="8"/>
        <v>0.70892647797688835</v>
      </c>
      <c r="AH34" s="4">
        <f t="shared" si="9"/>
        <v>380</v>
      </c>
      <c r="AI34" s="4">
        <f t="shared" si="10"/>
        <v>19</v>
      </c>
      <c r="AJ34" s="7">
        <f t="shared" si="11"/>
        <v>1.5833333333333333</v>
      </c>
      <c r="AK34" s="4">
        <f t="shared" si="12"/>
        <v>225</v>
      </c>
      <c r="AL34" s="4">
        <f t="shared" si="13"/>
        <v>1.44</v>
      </c>
      <c r="AM34" s="10">
        <f t="shared" si="14"/>
        <v>1.6888888888888889</v>
      </c>
      <c r="AN34" s="4">
        <f t="shared" si="15"/>
        <v>76</v>
      </c>
      <c r="AO34" s="4">
        <f t="shared" si="16"/>
        <v>3.8</v>
      </c>
      <c r="AP34" s="4">
        <f t="shared" si="17"/>
        <v>5</v>
      </c>
      <c r="AQ34" s="4">
        <f t="shared" si="18"/>
        <v>240</v>
      </c>
    </row>
    <row r="35" spans="1:43" x14ac:dyDescent="0.3">
      <c r="A35" s="2" t="s">
        <v>74</v>
      </c>
      <c r="B35" s="2" t="s">
        <v>79</v>
      </c>
      <c r="C35" s="2" t="s">
        <v>81</v>
      </c>
      <c r="D35" s="2" t="s">
        <v>82</v>
      </c>
      <c r="E35" s="2">
        <v>21.374231000000002</v>
      </c>
      <c r="F35" s="2">
        <v>39.980615999999998</v>
      </c>
      <c r="G35" s="3">
        <v>30</v>
      </c>
      <c r="H35" s="3">
        <v>19356</v>
      </c>
      <c r="I35" s="3">
        <v>0</v>
      </c>
      <c r="J35" s="3">
        <v>0</v>
      </c>
      <c r="K35" s="3">
        <v>0</v>
      </c>
      <c r="L35" s="3">
        <v>15</v>
      </c>
      <c r="M35" s="3">
        <v>10200</v>
      </c>
      <c r="N35" s="3"/>
      <c r="O35" s="3">
        <v>0</v>
      </c>
      <c r="P35" s="3"/>
      <c r="Q35" s="3">
        <v>190</v>
      </c>
      <c r="R35" s="3">
        <v>4</v>
      </c>
      <c r="S35" s="3"/>
      <c r="T35" s="3">
        <v>0.5</v>
      </c>
      <c r="U35" s="3">
        <v>0.8</v>
      </c>
      <c r="V35" s="3">
        <v>0</v>
      </c>
      <c r="W35" s="3">
        <v>0</v>
      </c>
      <c r="X35" s="3">
        <f t="shared" si="0"/>
        <v>0</v>
      </c>
      <c r="Y35" s="3">
        <f t="shared" si="1"/>
        <v>0</v>
      </c>
      <c r="Z35" s="6">
        <f t="shared" si="21"/>
        <v>19.495913424657534</v>
      </c>
      <c r="AA35" s="4">
        <f t="shared" si="2"/>
        <v>0</v>
      </c>
      <c r="AB35" s="7">
        <f t="shared" si="3"/>
        <v>0</v>
      </c>
      <c r="AC35" s="4">
        <f t="shared" si="4"/>
        <v>15</v>
      </c>
      <c r="AD35" s="9">
        <f t="shared" si="5"/>
        <v>8466</v>
      </c>
      <c r="AE35" s="5">
        <f t="shared" si="6"/>
        <v>0.70892647797688835</v>
      </c>
      <c r="AF35" s="4">
        <f t="shared" si="7"/>
        <v>0</v>
      </c>
      <c r="AG35" s="5">
        <f t="shared" si="8"/>
        <v>0</v>
      </c>
      <c r="AH35" s="4">
        <f t="shared" si="9"/>
        <v>380</v>
      </c>
      <c r="AI35" s="4">
        <f t="shared" si="10"/>
        <v>19</v>
      </c>
      <c r="AJ35" s="7"/>
      <c r="AK35" s="4">
        <f t="shared" si="12"/>
        <v>187.5</v>
      </c>
      <c r="AL35" s="4">
        <f t="shared" si="13"/>
        <v>1.2</v>
      </c>
      <c r="AM35" s="10">
        <f t="shared" si="14"/>
        <v>2.0266666666666668</v>
      </c>
      <c r="AN35" s="4">
        <f t="shared" si="15"/>
        <v>76</v>
      </c>
      <c r="AO35" s="4">
        <f t="shared" si="16"/>
        <v>3.8</v>
      </c>
      <c r="AP35" s="4">
        <f t="shared" si="17"/>
        <v>5</v>
      </c>
      <c r="AQ35" s="4">
        <f t="shared" si="18"/>
        <v>0</v>
      </c>
    </row>
    <row r="36" spans="1:43" x14ac:dyDescent="0.3">
      <c r="A36" s="2" t="s">
        <v>75</v>
      </c>
      <c r="B36" s="2" t="s">
        <v>78</v>
      </c>
      <c r="C36" s="2" t="s">
        <v>81</v>
      </c>
      <c r="D36" s="2" t="s">
        <v>82</v>
      </c>
      <c r="E36" s="2">
        <v>21.376249999999999</v>
      </c>
      <c r="F36" s="2">
        <v>39.982329999999997</v>
      </c>
      <c r="G36" s="3">
        <v>0</v>
      </c>
      <c r="H36" s="3">
        <v>0</v>
      </c>
      <c r="I36" s="3">
        <v>100</v>
      </c>
      <c r="J36" s="3">
        <v>30</v>
      </c>
      <c r="K36" s="3">
        <v>0</v>
      </c>
      <c r="L36" s="3">
        <v>18</v>
      </c>
      <c r="M36" s="3">
        <v>10200</v>
      </c>
      <c r="N36" s="3"/>
      <c r="O36" s="3">
        <v>0</v>
      </c>
      <c r="P36" s="3"/>
      <c r="Q36" s="3">
        <v>190</v>
      </c>
      <c r="R36" s="3">
        <v>4</v>
      </c>
      <c r="S36" s="3"/>
      <c r="T36" s="3">
        <v>0.5</v>
      </c>
      <c r="U36" s="3">
        <v>0.8</v>
      </c>
      <c r="V36" s="3">
        <v>13.2</v>
      </c>
      <c r="W36" s="3">
        <v>1.7999999999999998</v>
      </c>
      <c r="X36" s="3">
        <f t="shared" si="0"/>
        <v>15</v>
      </c>
      <c r="Y36" s="3">
        <f t="shared" si="1"/>
        <v>6141.5999999999995</v>
      </c>
      <c r="Z36" s="3">
        <v>0</v>
      </c>
      <c r="AA36" s="4">
        <f t="shared" si="2"/>
        <v>31.28</v>
      </c>
      <c r="AB36" s="7">
        <f t="shared" si="3"/>
        <v>20.88</v>
      </c>
      <c r="AC36" s="4">
        <f t="shared" si="4"/>
        <v>18</v>
      </c>
      <c r="AD36" s="9">
        <f t="shared" si="5"/>
        <v>8466</v>
      </c>
      <c r="AE36" s="5">
        <f t="shared" si="6"/>
        <v>0.70892647797688835</v>
      </c>
      <c r="AF36" s="4">
        <f t="shared" si="7"/>
        <v>0</v>
      </c>
      <c r="AG36" s="5">
        <f t="shared" si="8"/>
        <v>0</v>
      </c>
      <c r="AH36" s="4">
        <f t="shared" si="9"/>
        <v>380</v>
      </c>
      <c r="AI36" s="4">
        <f t="shared" si="10"/>
        <v>19</v>
      </c>
      <c r="AJ36" s="7">
        <f t="shared" si="11"/>
        <v>1.2666666666666666</v>
      </c>
      <c r="AK36" s="4">
        <f t="shared" si="12"/>
        <v>225</v>
      </c>
      <c r="AL36" s="4">
        <f t="shared" si="13"/>
        <v>1.44</v>
      </c>
      <c r="AM36" s="10">
        <f t="shared" si="14"/>
        <v>1.6888888888888889</v>
      </c>
      <c r="AN36" s="4">
        <f t="shared" si="15"/>
        <v>76</v>
      </c>
      <c r="AO36" s="4">
        <f t="shared" si="16"/>
        <v>3.8</v>
      </c>
      <c r="AP36" s="4">
        <f t="shared" si="17"/>
        <v>5</v>
      </c>
      <c r="AQ36" s="4">
        <f t="shared" si="18"/>
        <v>300</v>
      </c>
    </row>
    <row r="37" spans="1:43" x14ac:dyDescent="0.3">
      <c r="A37" s="2" t="s">
        <v>76</v>
      </c>
      <c r="B37" s="2" t="s">
        <v>78</v>
      </c>
      <c r="C37" s="2" t="s">
        <v>81</v>
      </c>
      <c r="D37" s="2" t="s">
        <v>83</v>
      </c>
      <c r="E37" s="2">
        <v>21.391940000000002</v>
      </c>
      <c r="F37" s="2">
        <v>39.903737999999997</v>
      </c>
      <c r="G37" s="3">
        <v>0</v>
      </c>
      <c r="H37" s="3">
        <v>0</v>
      </c>
      <c r="I37" s="3">
        <v>100</v>
      </c>
      <c r="J37" s="3">
        <v>35</v>
      </c>
      <c r="K37" s="3">
        <v>5091</v>
      </c>
      <c r="L37" s="3">
        <v>21</v>
      </c>
      <c r="M37" s="3">
        <v>10200</v>
      </c>
      <c r="N37" s="3"/>
      <c r="O37" s="3">
        <v>10200</v>
      </c>
      <c r="P37" s="3"/>
      <c r="Q37" s="3">
        <v>190</v>
      </c>
      <c r="R37" s="3">
        <v>4</v>
      </c>
      <c r="S37" s="3"/>
      <c r="T37" s="3">
        <v>0.5</v>
      </c>
      <c r="U37" s="3">
        <v>0.8</v>
      </c>
      <c r="V37" s="3">
        <v>14.96</v>
      </c>
      <c r="W37" s="3">
        <v>2.04</v>
      </c>
      <c r="X37" s="3">
        <f t="shared" si="0"/>
        <v>17</v>
      </c>
      <c r="Y37" s="3">
        <f t="shared" si="1"/>
        <v>6960.4800000000005</v>
      </c>
      <c r="Z37" s="3">
        <v>0</v>
      </c>
      <c r="AA37" s="4">
        <f t="shared" si="2"/>
        <v>31.28</v>
      </c>
      <c r="AB37" s="7">
        <f t="shared" si="3"/>
        <v>23.935285068493151</v>
      </c>
      <c r="AC37" s="4">
        <f t="shared" si="4"/>
        <v>21</v>
      </c>
      <c r="AD37" s="9">
        <f t="shared" si="5"/>
        <v>8466</v>
      </c>
      <c r="AE37" s="5">
        <f t="shared" si="6"/>
        <v>0.70892647797688835</v>
      </c>
      <c r="AF37" s="4">
        <f t="shared" si="7"/>
        <v>8466</v>
      </c>
      <c r="AG37" s="5">
        <f t="shared" si="8"/>
        <v>0.70892647797688835</v>
      </c>
      <c r="AH37" s="4">
        <f t="shared" si="9"/>
        <v>380</v>
      </c>
      <c r="AI37" s="4">
        <f t="shared" si="10"/>
        <v>19</v>
      </c>
      <c r="AJ37" s="7">
        <f t="shared" si="11"/>
        <v>1.1176470588235294</v>
      </c>
      <c r="AK37" s="4">
        <f t="shared" si="12"/>
        <v>262.5</v>
      </c>
      <c r="AL37" s="4">
        <f t="shared" si="13"/>
        <v>1.68</v>
      </c>
      <c r="AM37" s="10">
        <f t="shared" si="14"/>
        <v>1.4476190476190476</v>
      </c>
      <c r="AN37" s="4">
        <f t="shared" si="15"/>
        <v>76</v>
      </c>
      <c r="AO37" s="4">
        <f t="shared" si="16"/>
        <v>3.8</v>
      </c>
      <c r="AP37" s="4">
        <f t="shared" si="17"/>
        <v>5</v>
      </c>
      <c r="AQ37" s="4">
        <f t="shared" si="18"/>
        <v>340</v>
      </c>
    </row>
    <row r="38" spans="1:43" x14ac:dyDescent="0.3">
      <c r="A38" s="2" t="s">
        <v>77</v>
      </c>
      <c r="B38" s="2" t="s">
        <v>78</v>
      </c>
      <c r="C38" s="2" t="s">
        <v>81</v>
      </c>
      <c r="D38" s="2" t="s">
        <v>82</v>
      </c>
      <c r="E38" s="2">
        <v>21.359943999999999</v>
      </c>
      <c r="F38" s="2">
        <v>39.947977000000002</v>
      </c>
      <c r="G38" s="3">
        <v>0</v>
      </c>
      <c r="H38" s="3">
        <v>0</v>
      </c>
      <c r="I38" s="3">
        <v>100</v>
      </c>
      <c r="J38" s="3">
        <v>45</v>
      </c>
      <c r="K38" s="3">
        <v>8833</v>
      </c>
      <c r="L38" s="3">
        <v>18</v>
      </c>
      <c r="M38" s="3">
        <v>10200</v>
      </c>
      <c r="N38" s="3"/>
      <c r="O38" s="3">
        <v>10200</v>
      </c>
      <c r="P38" s="3"/>
      <c r="Q38" s="3">
        <v>200</v>
      </c>
      <c r="R38" s="3">
        <v>4</v>
      </c>
      <c r="S38" s="3"/>
      <c r="T38" s="3">
        <v>0.5</v>
      </c>
      <c r="U38" s="3">
        <v>0.8</v>
      </c>
      <c r="V38" s="3">
        <v>13.2</v>
      </c>
      <c r="W38" s="3">
        <v>1.7999999999999998</v>
      </c>
      <c r="X38" s="3">
        <f t="shared" si="0"/>
        <v>15</v>
      </c>
      <c r="Y38" s="3">
        <f t="shared" si="1"/>
        <v>6141.5999999999995</v>
      </c>
      <c r="Z38" s="3">
        <v>0</v>
      </c>
      <c r="AA38" s="4">
        <f t="shared" si="2"/>
        <v>31.28</v>
      </c>
      <c r="AB38" s="7">
        <f t="shared" si="3"/>
        <v>30.37257</v>
      </c>
      <c r="AC38" s="4">
        <f t="shared" si="4"/>
        <v>18</v>
      </c>
      <c r="AD38" s="9">
        <f t="shared" si="5"/>
        <v>8466</v>
      </c>
      <c r="AE38" s="5">
        <f t="shared" si="6"/>
        <v>0.70892647797688835</v>
      </c>
      <c r="AF38" s="4">
        <f t="shared" si="7"/>
        <v>8466</v>
      </c>
      <c r="AG38" s="5">
        <f t="shared" si="8"/>
        <v>0.70892647797688835</v>
      </c>
      <c r="AH38" s="4">
        <f t="shared" si="9"/>
        <v>400</v>
      </c>
      <c r="AI38" s="4">
        <f t="shared" si="10"/>
        <v>20</v>
      </c>
      <c r="AJ38" s="7">
        <f t="shared" si="11"/>
        <v>1.3333333333333333</v>
      </c>
      <c r="AK38" s="4">
        <f t="shared" si="12"/>
        <v>225</v>
      </c>
      <c r="AL38" s="4">
        <f t="shared" si="13"/>
        <v>1.44</v>
      </c>
      <c r="AM38" s="10">
        <f t="shared" si="14"/>
        <v>1.7777777777777777</v>
      </c>
      <c r="AN38" s="4">
        <f t="shared" si="15"/>
        <v>80</v>
      </c>
      <c r="AO38" s="4">
        <f t="shared" si="16"/>
        <v>4</v>
      </c>
      <c r="AP38" s="4">
        <f t="shared" si="17"/>
        <v>5</v>
      </c>
      <c r="AQ38" s="4">
        <f>X38*1000/50</f>
        <v>300</v>
      </c>
    </row>
    <row r="39" spans="1:43" x14ac:dyDescent="0.3">
      <c r="A39" s="2"/>
    </row>
    <row r="40" spans="1:43" x14ac:dyDescent="0.3">
      <c r="A40" s="2"/>
    </row>
  </sheetData>
  <autoFilter ref="A1:AQ38" xr:uid="{28E648F4-B5C1-4913-893C-C072E6E2A6B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2026-04-21T15:05:55Z</dcterms:modified>
</cp:coreProperties>
</file>